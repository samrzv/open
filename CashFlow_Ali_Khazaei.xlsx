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rrazavi/Downloads/"/>
    </mc:Choice>
  </mc:AlternateContent>
  <xr:revisionPtr revIDLastSave="0" documentId="13_ncr:1_{7E580236-AB95-9B4F-822E-9FA4141AC83A}" xr6:coauthVersionLast="47" xr6:coauthVersionMax="47" xr10:uidLastSave="{00000000-0000-0000-0000-000000000000}"/>
  <bookViews>
    <workbookView xWindow="-38400" yWindow="-5820" windowWidth="38400" windowHeight="21140" activeTab="1" xr2:uid="{DE80B6CA-6FBD-2C49-819A-F84739D7AC1E}"/>
  </bookViews>
  <sheets>
    <sheet name="Assumptions" sheetId="2" r:id="rId1"/>
    <sheet name="CashFlow" sheetId="1" r:id="rId2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E3" i="1"/>
  <c r="F3" i="1"/>
  <c r="F2" i="1"/>
  <c r="B10" i="2"/>
  <c r="B3" i="2"/>
  <c r="O6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E5" i="1" l="1"/>
  <c r="E4" i="1"/>
  <c r="F6" i="1"/>
  <c r="E7" i="1"/>
  <c r="F8" i="1" s="1"/>
  <c r="F4" i="1"/>
  <c r="F7" i="1"/>
  <c r="F5" i="1"/>
  <c r="E6" i="1"/>
  <c r="E8" i="1"/>
  <c r="E9" i="1"/>
  <c r="E10" i="1" s="1"/>
  <c r="F10" i="1" s="1"/>
  <c r="D2" i="1"/>
  <c r="K2" i="1" s="1"/>
  <c r="L2" i="1" s="1"/>
  <c r="F9" i="1" l="1"/>
  <c r="E11" i="1"/>
  <c r="D3" i="1"/>
  <c r="F11" i="1" l="1"/>
  <c r="E12" i="1"/>
  <c r="E13" i="1" s="1"/>
  <c r="C3" i="1"/>
  <c r="F12" i="1" l="1"/>
  <c r="D4" i="1"/>
  <c r="C4" i="1" s="1"/>
  <c r="K3" i="1"/>
  <c r="F13" i="1"/>
  <c r="E14" i="1"/>
  <c r="E15" i="1" s="1"/>
  <c r="L3" i="1" l="1"/>
  <c r="D5" i="1"/>
  <c r="C5" i="1" s="1"/>
  <c r="K5" i="1" s="1"/>
  <c r="L5" i="1" s="1"/>
  <c r="K4" i="1"/>
  <c r="L4" i="1" s="1"/>
  <c r="E16" i="1"/>
  <c r="D6" i="1" l="1"/>
  <c r="C6" i="1" s="1"/>
  <c r="K6" i="1" s="1"/>
  <c r="L6" i="1" s="1"/>
  <c r="D7" i="1" l="1"/>
  <c r="C7" i="1" s="1"/>
  <c r="K7" i="1" s="1"/>
  <c r="L7" i="1" s="1"/>
  <c r="F14" i="1"/>
  <c r="D8" i="1" l="1"/>
  <c r="C8" i="1" s="1"/>
  <c r="D9" i="1" l="1"/>
  <c r="C9" i="1" s="1"/>
  <c r="K9" i="1" s="1"/>
  <c r="L9" i="1" s="1"/>
  <c r="K8" i="1"/>
  <c r="D10" i="1" l="1"/>
  <c r="C10" i="1" s="1"/>
  <c r="K10" i="1" s="1"/>
  <c r="L10" i="1" s="1"/>
  <c r="L8" i="1"/>
  <c r="D11" i="1" l="1"/>
  <c r="C11" i="1" s="1"/>
  <c r="K11" i="1" s="1"/>
  <c r="L11" i="1" s="1"/>
  <c r="D12" i="1" l="1"/>
  <c r="C12" i="1" s="1"/>
  <c r="K12" i="1" s="1"/>
  <c r="L12" i="1" s="1"/>
  <c r="D13" i="1" l="1"/>
  <c r="C13" i="1" s="1"/>
  <c r="K13" i="1" s="1"/>
  <c r="L13" i="1" s="1"/>
  <c r="H14" i="1"/>
  <c r="I14" i="1"/>
  <c r="F15" i="1"/>
  <c r="H15" i="1"/>
  <c r="I15" i="1"/>
  <c r="F16" i="1"/>
  <c r="H16" i="1"/>
  <c r="I16" i="1"/>
  <c r="D14" i="1" l="1"/>
  <c r="C14" i="1" s="1"/>
  <c r="K14" i="1" s="1"/>
  <c r="L14" i="1" s="1"/>
  <c r="D15" i="1" l="1"/>
  <c r="C15" i="1" s="1"/>
  <c r="K15" i="1" s="1"/>
  <c r="L15" i="1" s="1"/>
  <c r="D16" i="1" l="1"/>
  <c r="C16" i="1" s="1"/>
  <c r="K16" i="1" s="1"/>
  <c r="L16" i="1" s="1"/>
  <c r="D17" i="1" l="1"/>
  <c r="E17" i="1" l="1"/>
  <c r="C17" i="1" s="1"/>
  <c r="K17" i="1" s="1"/>
  <c r="L17" i="1" s="1"/>
  <c r="H17" i="1" l="1"/>
  <c r="F17" i="1"/>
  <c r="E18" i="1"/>
  <c r="I17" i="1"/>
  <c r="D18" i="1"/>
  <c r="I18" i="1" l="1"/>
  <c r="C18" i="1"/>
  <c r="K18" i="1" s="1"/>
  <c r="H18" i="1"/>
  <c r="F18" i="1"/>
  <c r="D19" i="1" l="1"/>
  <c r="L18" i="1"/>
  <c r="K19" i="1" l="1"/>
  <c r="L19" i="1" l="1"/>
  <c r="K20" i="1" l="1"/>
  <c r="K21" i="1" l="1"/>
  <c r="L21" i="1" s="1"/>
  <c r="L20" i="1"/>
  <c r="K22" i="1" l="1"/>
  <c r="K23" i="1" l="1"/>
  <c r="L23" i="1" s="1"/>
  <c r="L22" i="1"/>
  <c r="K24" i="1" l="1"/>
  <c r="L24" i="1" l="1"/>
  <c r="K27" i="1" l="1"/>
  <c r="L27" i="1" s="1"/>
  <c r="L26" i="1"/>
  <c r="K28" i="1" l="1"/>
  <c r="K29" i="1" l="1"/>
  <c r="L29" i="1" s="1"/>
  <c r="L28" i="1"/>
  <c r="K30" i="1" l="1"/>
  <c r="L30" i="1" l="1"/>
  <c r="K31" i="1" l="1"/>
  <c r="K32" i="1" l="1"/>
  <c r="L32" i="1" s="1"/>
  <c r="L31" i="1"/>
  <c r="K33" i="1" l="1"/>
  <c r="L33" i="1" s="1"/>
  <c r="K34" i="1" l="1"/>
  <c r="L34" i="1" l="1"/>
  <c r="K35" i="1"/>
  <c r="L35" i="1" s="1"/>
  <c r="K36" i="1" l="1"/>
  <c r="L36" i="1" s="1"/>
  <c r="K37" i="1" l="1"/>
  <c r="K38" i="1" l="1"/>
  <c r="L38" i="1" s="1"/>
  <c r="L37" i="1"/>
  <c r="K39" i="1" l="1"/>
  <c r="L39" i="1" s="1"/>
  <c r="K40" i="1" l="1"/>
  <c r="L40" i="1" s="1"/>
  <c r="K41" i="1" l="1"/>
  <c r="L41" i="1" s="1"/>
  <c r="K42" i="1" l="1"/>
  <c r="L42" i="1" s="1"/>
  <c r="K43" i="1" l="1"/>
  <c r="L43" i="1" s="1"/>
  <c r="K44" i="1" l="1"/>
  <c r="L44" i="1" s="1"/>
  <c r="K45" i="1" l="1"/>
  <c r="L45" i="1" s="1"/>
  <c r="K46" i="1" l="1"/>
  <c r="L46" i="1" s="1"/>
  <c r="K47" i="1" l="1"/>
  <c r="L47" i="1" s="1"/>
  <c r="K48" i="1" l="1"/>
  <c r="L48" i="1" s="1"/>
  <c r="K49" i="1" l="1"/>
  <c r="L49" i="1" s="1"/>
  <c r="K50" i="1" l="1"/>
  <c r="L50" i="1" s="1"/>
  <c r="K51" i="1" l="1"/>
  <c r="L51" i="1" s="1"/>
  <c r="K52" i="1" l="1"/>
  <c r="L52" i="1" s="1"/>
  <c r="K53" i="1" l="1"/>
  <c r="L53" i="1" s="1"/>
  <c r="K54" i="1" l="1"/>
  <c r="L54" i="1" s="1"/>
  <c r="K55" i="1" l="1"/>
  <c r="L55" i="1" s="1"/>
  <c r="K56" i="1" l="1"/>
  <c r="L56" i="1" s="1"/>
  <c r="K57" i="1" l="1"/>
  <c r="L57" i="1" s="1"/>
  <c r="K58" i="1" l="1"/>
  <c r="L58" i="1" s="1"/>
  <c r="K59" i="1" l="1"/>
  <c r="L59" i="1" s="1"/>
  <c r="K60" i="1" l="1"/>
  <c r="L60" i="1" s="1"/>
  <c r="K61" i="1" l="1"/>
  <c r="L61" i="1" s="1"/>
  <c r="K62" i="1" l="1"/>
  <c r="L62" i="1" s="1"/>
  <c r="K63" i="1" l="1"/>
  <c r="L63" i="1" s="1"/>
  <c r="K64" i="1" l="1"/>
  <c r="L64" i="1" s="1"/>
  <c r="K65" i="1" l="1"/>
  <c r="L65" i="1" s="1"/>
  <c r="K66" i="1" l="1"/>
  <c r="L66" i="1" s="1"/>
  <c r="K67" i="1" l="1"/>
  <c r="L67" i="1" s="1"/>
  <c r="K68" i="1" l="1"/>
  <c r="L68" i="1" s="1"/>
  <c r="K69" i="1" l="1"/>
  <c r="L69" i="1" s="1"/>
  <c r="K70" i="1" l="1"/>
  <c r="L70" i="1" s="1"/>
  <c r="K71" i="1" l="1"/>
  <c r="L71" i="1" s="1"/>
  <c r="L72" i="1" l="1"/>
  <c r="L25" i="1"/>
  <c r="O3" i="1"/>
  <c r="K25" i="1"/>
  <c r="K26" i="1"/>
  <c r="K72" i="1"/>
  <c r="O2" i="1"/>
  <c r="C19" i="1"/>
  <c r="E19" i="1"/>
  <c r="F19" i="1"/>
  <c r="H19" i="1"/>
  <c r="I19" i="1"/>
  <c r="C20" i="1"/>
  <c r="D20" i="1"/>
  <c r="E20" i="1"/>
  <c r="F20" i="1"/>
  <c r="H20" i="1"/>
  <c r="I20" i="1"/>
  <c r="C21" i="1"/>
  <c r="D21" i="1"/>
  <c r="E21" i="1"/>
  <c r="F21" i="1"/>
  <c r="H21" i="1"/>
  <c r="I21" i="1"/>
  <c r="C22" i="1"/>
  <c r="D22" i="1"/>
  <c r="E22" i="1"/>
  <c r="F22" i="1"/>
  <c r="H22" i="1"/>
  <c r="I22" i="1"/>
  <c r="C23" i="1"/>
  <c r="D23" i="1"/>
  <c r="E23" i="1"/>
  <c r="F23" i="1"/>
  <c r="H23" i="1"/>
  <c r="I23" i="1"/>
  <c r="C24" i="1"/>
  <c r="D24" i="1"/>
  <c r="E24" i="1"/>
  <c r="F24" i="1"/>
  <c r="H24" i="1"/>
  <c r="I24" i="1"/>
  <c r="C25" i="1"/>
  <c r="D25" i="1"/>
  <c r="E25" i="1"/>
  <c r="F25" i="1"/>
  <c r="H25" i="1"/>
  <c r="I25" i="1"/>
  <c r="C26" i="1"/>
  <c r="D26" i="1"/>
  <c r="E26" i="1"/>
  <c r="F26" i="1"/>
  <c r="H26" i="1"/>
  <c r="I26" i="1"/>
  <c r="C27" i="1"/>
  <c r="D27" i="1"/>
  <c r="E27" i="1"/>
  <c r="F27" i="1"/>
  <c r="H27" i="1"/>
  <c r="I27" i="1"/>
  <c r="C28" i="1"/>
  <c r="D28" i="1"/>
  <c r="E28" i="1"/>
  <c r="F28" i="1"/>
  <c r="H28" i="1"/>
  <c r="I28" i="1"/>
  <c r="C29" i="1"/>
  <c r="D29" i="1"/>
  <c r="E29" i="1"/>
  <c r="F29" i="1"/>
  <c r="H29" i="1"/>
  <c r="I29" i="1"/>
  <c r="C30" i="1"/>
  <c r="D30" i="1"/>
  <c r="E30" i="1"/>
  <c r="F30" i="1"/>
  <c r="H30" i="1"/>
  <c r="I30" i="1"/>
  <c r="C31" i="1"/>
  <c r="D31" i="1"/>
  <c r="E31" i="1"/>
  <c r="F31" i="1"/>
  <c r="H31" i="1"/>
  <c r="I31" i="1"/>
  <c r="C32" i="1"/>
  <c r="D32" i="1"/>
  <c r="E32" i="1"/>
  <c r="F32" i="1"/>
  <c r="H32" i="1"/>
  <c r="I32" i="1"/>
  <c r="C33" i="1"/>
  <c r="D33" i="1"/>
  <c r="E33" i="1"/>
  <c r="F33" i="1"/>
  <c r="H33" i="1"/>
  <c r="I33" i="1"/>
  <c r="C34" i="1"/>
  <c r="D34" i="1"/>
  <c r="E34" i="1"/>
  <c r="F34" i="1"/>
  <c r="H34" i="1"/>
  <c r="I34" i="1"/>
  <c r="C35" i="1"/>
  <c r="D35" i="1"/>
  <c r="E35" i="1"/>
  <c r="F35" i="1"/>
  <c r="H35" i="1"/>
  <c r="I35" i="1"/>
  <c r="C36" i="1"/>
  <c r="D36" i="1"/>
  <c r="E36" i="1"/>
  <c r="F36" i="1"/>
  <c r="H36" i="1"/>
  <c r="I36" i="1"/>
  <c r="C37" i="1"/>
  <c r="D37" i="1"/>
  <c r="E37" i="1"/>
  <c r="F37" i="1"/>
  <c r="H37" i="1"/>
  <c r="I37" i="1"/>
  <c r="C38" i="1"/>
  <c r="D38" i="1"/>
  <c r="E38" i="1"/>
  <c r="F38" i="1"/>
  <c r="H38" i="1"/>
  <c r="I38" i="1"/>
  <c r="C39" i="1"/>
  <c r="D39" i="1"/>
  <c r="E39" i="1"/>
  <c r="F39" i="1"/>
  <c r="H39" i="1"/>
  <c r="I39" i="1"/>
  <c r="C40" i="1"/>
  <c r="D40" i="1"/>
  <c r="E40" i="1"/>
  <c r="F40" i="1"/>
  <c r="H40" i="1"/>
  <c r="I40" i="1"/>
  <c r="C41" i="1"/>
  <c r="D41" i="1"/>
  <c r="E41" i="1"/>
  <c r="F41" i="1"/>
  <c r="H41" i="1"/>
  <c r="I41" i="1"/>
  <c r="C42" i="1"/>
  <c r="D42" i="1"/>
  <c r="E42" i="1"/>
  <c r="F42" i="1"/>
  <c r="H42" i="1"/>
  <c r="I42" i="1"/>
  <c r="C43" i="1"/>
  <c r="D43" i="1"/>
  <c r="E43" i="1"/>
  <c r="F43" i="1"/>
  <c r="H43" i="1"/>
  <c r="I43" i="1"/>
  <c r="C44" i="1"/>
  <c r="D44" i="1"/>
  <c r="E44" i="1"/>
  <c r="F44" i="1"/>
  <c r="H44" i="1"/>
  <c r="I44" i="1"/>
  <c r="C45" i="1"/>
  <c r="D45" i="1"/>
  <c r="E45" i="1"/>
  <c r="F45" i="1"/>
  <c r="H45" i="1"/>
  <c r="I45" i="1"/>
  <c r="C46" i="1"/>
  <c r="D46" i="1"/>
  <c r="E46" i="1"/>
  <c r="F46" i="1"/>
  <c r="H46" i="1"/>
  <c r="I46" i="1"/>
  <c r="C47" i="1"/>
  <c r="D47" i="1"/>
  <c r="E47" i="1"/>
  <c r="F47" i="1"/>
  <c r="H47" i="1"/>
  <c r="I47" i="1"/>
  <c r="C48" i="1"/>
  <c r="D48" i="1"/>
  <c r="E48" i="1"/>
  <c r="F48" i="1"/>
  <c r="H48" i="1"/>
  <c r="I48" i="1"/>
  <c r="C49" i="1"/>
  <c r="D49" i="1"/>
  <c r="E49" i="1"/>
  <c r="F49" i="1"/>
  <c r="H49" i="1"/>
  <c r="I49" i="1"/>
  <c r="C50" i="1"/>
  <c r="D50" i="1"/>
  <c r="E50" i="1"/>
  <c r="F50" i="1"/>
  <c r="H50" i="1"/>
  <c r="I50" i="1"/>
  <c r="C51" i="1"/>
  <c r="D51" i="1"/>
  <c r="E51" i="1"/>
  <c r="F51" i="1"/>
  <c r="H51" i="1"/>
  <c r="I51" i="1"/>
  <c r="C52" i="1"/>
  <c r="D52" i="1"/>
  <c r="E52" i="1"/>
  <c r="F52" i="1"/>
  <c r="H52" i="1"/>
  <c r="I52" i="1"/>
  <c r="C53" i="1"/>
  <c r="D53" i="1"/>
  <c r="E53" i="1"/>
  <c r="F53" i="1"/>
  <c r="H53" i="1"/>
  <c r="I53" i="1"/>
  <c r="C54" i="1"/>
  <c r="D54" i="1"/>
  <c r="E54" i="1"/>
  <c r="F54" i="1"/>
  <c r="H54" i="1"/>
  <c r="I54" i="1"/>
  <c r="C55" i="1"/>
  <c r="D55" i="1"/>
  <c r="E55" i="1"/>
  <c r="F55" i="1"/>
  <c r="H55" i="1"/>
  <c r="I55" i="1"/>
  <c r="C56" i="1"/>
  <c r="D56" i="1"/>
  <c r="E56" i="1"/>
  <c r="F56" i="1"/>
  <c r="H56" i="1"/>
  <c r="I56" i="1"/>
  <c r="C57" i="1"/>
  <c r="D57" i="1"/>
  <c r="E57" i="1"/>
  <c r="F57" i="1"/>
  <c r="H57" i="1"/>
  <c r="I57" i="1"/>
  <c r="C58" i="1"/>
  <c r="D58" i="1"/>
  <c r="E58" i="1"/>
  <c r="F58" i="1"/>
  <c r="H58" i="1"/>
  <c r="I58" i="1"/>
  <c r="C59" i="1"/>
  <c r="D59" i="1"/>
  <c r="E59" i="1"/>
  <c r="F59" i="1"/>
  <c r="H59" i="1"/>
  <c r="I59" i="1"/>
  <c r="C60" i="1"/>
  <c r="D60" i="1"/>
  <c r="E60" i="1"/>
  <c r="F60" i="1"/>
  <c r="H60" i="1"/>
  <c r="I60" i="1"/>
  <c r="C61" i="1"/>
  <c r="D61" i="1"/>
  <c r="E61" i="1"/>
  <c r="F61" i="1"/>
  <c r="H61" i="1"/>
  <c r="I61" i="1"/>
  <c r="C62" i="1"/>
  <c r="D62" i="1"/>
  <c r="E62" i="1"/>
  <c r="F62" i="1"/>
  <c r="H62" i="1"/>
  <c r="I62" i="1"/>
  <c r="C63" i="1"/>
  <c r="D63" i="1"/>
  <c r="E63" i="1"/>
  <c r="F63" i="1"/>
  <c r="H63" i="1"/>
  <c r="I63" i="1"/>
  <c r="C64" i="1"/>
  <c r="D64" i="1"/>
  <c r="E64" i="1"/>
  <c r="F64" i="1"/>
  <c r="H64" i="1"/>
  <c r="I64" i="1"/>
  <c r="C65" i="1"/>
  <c r="D65" i="1"/>
  <c r="E65" i="1"/>
  <c r="F65" i="1"/>
  <c r="H65" i="1"/>
  <c r="I65" i="1"/>
  <c r="C66" i="1"/>
  <c r="D66" i="1"/>
  <c r="E66" i="1"/>
  <c r="F66" i="1"/>
  <c r="H66" i="1"/>
  <c r="I66" i="1"/>
  <c r="C67" i="1"/>
  <c r="D67" i="1"/>
  <c r="E67" i="1"/>
  <c r="F67" i="1"/>
  <c r="H67" i="1"/>
  <c r="I67" i="1"/>
  <c r="C68" i="1"/>
  <c r="D68" i="1"/>
  <c r="E68" i="1"/>
  <c r="F68" i="1"/>
  <c r="H68" i="1"/>
  <c r="I68" i="1"/>
  <c r="C69" i="1"/>
  <c r="D69" i="1"/>
  <c r="E69" i="1"/>
  <c r="F69" i="1"/>
  <c r="H69" i="1"/>
  <c r="I69" i="1"/>
  <c r="C70" i="1"/>
  <c r="D70" i="1"/>
  <c r="E70" i="1"/>
  <c r="F70" i="1"/>
  <c r="H70" i="1"/>
  <c r="I70" i="1"/>
  <c r="C71" i="1"/>
  <c r="D71" i="1"/>
  <c r="E71" i="1"/>
  <c r="F71" i="1"/>
  <c r="H71" i="1"/>
  <c r="I71" i="1"/>
  <c r="C72" i="1"/>
  <c r="D72" i="1"/>
  <c r="E72" i="1"/>
  <c r="F72" i="1"/>
  <c r="H72" i="1"/>
  <c r="I72" i="1"/>
</calcChain>
</file>

<file path=xl/sharedStrings.xml><?xml version="1.0" encoding="utf-8"?>
<sst xmlns="http://schemas.openxmlformats.org/spreadsheetml/2006/main" count="23" uniqueCount="22">
  <si>
    <t>Month</t>
  </si>
  <si>
    <t>Income</t>
  </si>
  <si>
    <t>Debt</t>
  </si>
  <si>
    <t>Equity</t>
  </si>
  <si>
    <t>Assets</t>
  </si>
  <si>
    <t>Remained Debt</t>
  </si>
  <si>
    <t>Return</t>
  </si>
  <si>
    <t>Asset After Debt</t>
  </si>
  <si>
    <t>NPV</t>
  </si>
  <si>
    <t>Date</t>
  </si>
  <si>
    <t>CashFlow</t>
  </si>
  <si>
    <t>Discounted Value</t>
  </si>
  <si>
    <t>Exemption Period(Month)</t>
  </si>
  <si>
    <t>Debt Payment Period(Year)</t>
  </si>
  <si>
    <t>Debt Interest Period(Year)</t>
  </si>
  <si>
    <t>Asset Multiplier</t>
  </si>
  <si>
    <t>Interest rate / Y</t>
  </si>
  <si>
    <t>Return rate / Y</t>
  </si>
  <si>
    <t>Interest rate / D</t>
  </si>
  <si>
    <t>Depreciation rate / M</t>
  </si>
  <si>
    <t>Total Debt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</si>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</sst>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9" formatCode="yyyy/mm/dd;@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2" borderId="0" xfId="0" applyFill="1"/>
    <xf numFmtId="38" fontId="0" fillId="2" borderId="0" xfId="0" applyNumberFormat="1" applyFill="1"/>
    <xf numFmtId="41" fontId="0" fillId="2" borderId="0" xfId="0" applyNumberFormat="1" applyFill="1"/>
    <xf numFmtId="0" fontId="2" fillId="3" borderId="1" xfId="0" applyFont="1" applyFill="1" applyBorder="1"/>
    <xf numFmtId="38" fontId="0" fillId="2" borderId="2" xfId="1" applyNumberFormat="1" applyFont="1" applyFill="1" applyBorder="1" applyAlignment="1">
      <alignment vertical="center"/>
    </xf>
    <xf numFmtId="0" fontId="2" fillId="3" borderId="3" xfId="0" applyFont="1" applyFill="1" applyBorder="1"/>
    <xf numFmtId="38" fontId="0" fillId="2" borderId="4" xfId="1" applyNumberFormat="1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9" fontId="0" fillId="2" borderId="4" xfId="0" applyNumberFormat="1" applyFill="1" applyBorder="1" applyAlignment="1">
      <alignment vertical="center"/>
    </xf>
    <xf numFmtId="9" fontId="0" fillId="2" borderId="4" xfId="2" applyFont="1" applyFill="1" applyBorder="1" applyAlignment="1">
      <alignment vertical="center"/>
    </xf>
    <xf numFmtId="0" fontId="2" fillId="3" borderId="5" xfId="0" applyFont="1" applyFill="1" applyBorder="1"/>
    <xf numFmtId="0" fontId="0" fillId="2" borderId="3" xfId="0" applyFill="1" applyBorder="1"/>
    <xf numFmtId="41" fontId="0" fillId="2" borderId="0" xfId="0" applyNumberFormat="1" applyFill="1" applyBorder="1"/>
    <xf numFmtId="38" fontId="0" fillId="2" borderId="0" xfId="0" applyNumberFormat="1" applyFill="1" applyBorder="1"/>
    <xf numFmtId="0" fontId="0" fillId="2" borderId="4" xfId="0" applyFill="1" applyBorder="1"/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38" fontId="0" fillId="2" borderId="3" xfId="0" applyNumberFormat="1" applyFill="1" applyBorder="1"/>
    <xf numFmtId="38" fontId="0" fillId="2" borderId="4" xfId="0" applyNumberFormat="1" applyFill="1" applyBorder="1"/>
    <xf numFmtId="38" fontId="0" fillId="2" borderId="5" xfId="0" applyNumberFormat="1" applyFill="1" applyBorder="1"/>
    <xf numFmtId="38" fontId="0" fillId="2" borderId="6" xfId="0" applyNumberFormat="1" applyFill="1" applyBorder="1"/>
    <xf numFmtId="17" fontId="0" fillId="2" borderId="0" xfId="0" applyNumberFormat="1" applyFill="1"/>
    <xf numFmtId="169" fontId="0" fillId="2" borderId="0" xfId="0" applyNumberFormat="1" applyFill="1"/>
    <xf numFmtId="9" fontId="0" fillId="2" borderId="6" xfId="2" applyFont="1" applyFill="1" applyBorder="1" applyAlignment="1">
      <alignment vertical="center"/>
    </xf>
    <xf numFmtId="0" fontId="2" fillId="3" borderId="8" xfId="0" applyFont="1" applyFill="1" applyBorder="1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8" fontId="3" fillId="2" borderId="9" xfId="0" applyNumberFormat="1" applyFont="1" applyFill="1" applyBorder="1" applyAlignment="1">
      <alignment horizontal="center"/>
    </xf>
    <xf numFmtId="38" fontId="3" fillId="2" borderId="10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BAAE-9F4E-AF4F-9E4D-822C2CDAA64D}">
  <dimension ref="A1:B11"/>
  <sheetViews>
    <sheetView workbookViewId="0">
      <selection activeCell="B3" sqref="B3"/>
    </sheetView>
  </sheetViews>
  <sheetFormatPr baseColWidth="10" defaultRowHeight="16" x14ac:dyDescent="0.2"/>
  <cols>
    <col min="1" max="1" width="31.83203125" style="1" customWidth="1"/>
    <col min="2" max="2" width="22.1640625" style="1" customWidth="1"/>
    <col min="3" max="16384" width="10.83203125" style="1"/>
  </cols>
  <sheetData>
    <row r="1" spans="1:2" ht="17" thickBot="1" x14ac:dyDescent="0.25">
      <c r="A1" s="4" t="s">
        <v>21</v>
      </c>
      <c r="B1" s="5">
        <v>5000000000</v>
      </c>
    </row>
    <row r="2" spans="1:2" x14ac:dyDescent="0.2">
      <c r="A2" s="4" t="s">
        <v>3</v>
      </c>
      <c r="B2" s="5">
        <v>3700000000</v>
      </c>
    </row>
    <row r="3" spans="1:2" x14ac:dyDescent="0.2">
      <c r="A3" s="6" t="s">
        <v>2</v>
      </c>
      <c r="B3" s="7">
        <f>-B1*B4*(1+B8)^B5</f>
        <v>-5545268253.2047081</v>
      </c>
    </row>
    <row r="4" spans="1:2" x14ac:dyDescent="0.2">
      <c r="A4" s="6" t="s">
        <v>15</v>
      </c>
      <c r="B4" s="8">
        <v>1</v>
      </c>
    </row>
    <row r="5" spans="1:2" x14ac:dyDescent="0.2">
      <c r="A5" s="6" t="s">
        <v>14</v>
      </c>
      <c r="B5" s="8">
        <v>0.5</v>
      </c>
    </row>
    <row r="6" spans="1:2" x14ac:dyDescent="0.2">
      <c r="A6" s="6" t="s">
        <v>13</v>
      </c>
      <c r="B6" s="8">
        <v>0.5</v>
      </c>
    </row>
    <row r="7" spans="1:2" x14ac:dyDescent="0.2">
      <c r="A7" s="6" t="s">
        <v>12</v>
      </c>
      <c r="B7" s="8">
        <v>11</v>
      </c>
    </row>
    <row r="8" spans="1:2" x14ac:dyDescent="0.2">
      <c r="A8" s="6" t="s">
        <v>16</v>
      </c>
      <c r="B8" s="9">
        <v>0.23</v>
      </c>
    </row>
    <row r="9" spans="1:2" x14ac:dyDescent="0.2">
      <c r="A9" s="6" t="s">
        <v>17</v>
      </c>
      <c r="B9" s="10">
        <v>0.38</v>
      </c>
    </row>
    <row r="10" spans="1:2" x14ac:dyDescent="0.2">
      <c r="A10" s="6" t="s">
        <v>18</v>
      </c>
      <c r="B10" s="8">
        <f>(1+B9)^(1/365)</f>
        <v>1.0008828099932223</v>
      </c>
    </row>
    <row r="11" spans="1:2" ht="17" thickBot="1" x14ac:dyDescent="0.25">
      <c r="A11" s="11" t="s">
        <v>19</v>
      </c>
      <c r="B11" s="28">
        <v>2.5000000000000001E-2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79C5A-C1D4-CC4F-B135-63B0B678F09B}">
  <dimension ref="A1:O75"/>
  <sheetViews>
    <sheetView tabSelected="1" workbookViewId="0">
      <selection activeCell="N16" sqref="N16"/>
    </sheetView>
  </sheetViews>
  <sheetFormatPr baseColWidth="10" defaultRowHeight="16" x14ac:dyDescent="0.2"/>
  <cols>
    <col min="1" max="1" width="10.83203125" style="1"/>
    <col min="2" max="2" width="12" style="16" customWidth="1"/>
    <col min="3" max="3" width="18.6640625" style="1" customWidth="1"/>
    <col min="4" max="4" width="19.1640625" style="1" customWidth="1"/>
    <col min="5" max="5" width="20.1640625" style="1" customWidth="1"/>
    <col min="6" max="6" width="24.1640625" style="1" customWidth="1"/>
    <col min="7" max="7" width="4.6640625" style="1" customWidth="1"/>
    <col min="8" max="8" width="18.6640625" style="1" customWidth="1"/>
    <col min="9" max="9" width="18.5" style="1" customWidth="1"/>
    <col min="10" max="10" width="5" style="1" customWidth="1"/>
    <col min="11" max="13" width="24.83203125" style="1" customWidth="1"/>
    <col min="14" max="14" width="14.33203125" style="1" bestFit="1" customWidth="1"/>
    <col min="15" max="15" width="24.1640625" style="1" customWidth="1"/>
    <col min="16" max="16384" width="10.83203125" style="1"/>
  </cols>
  <sheetData>
    <row r="1" spans="1:15" x14ac:dyDescent="0.2">
      <c r="A1" s="17" t="s">
        <v>9</v>
      </c>
      <c r="B1" s="17" t="s">
        <v>0</v>
      </c>
      <c r="C1" s="18" t="s">
        <v>4</v>
      </c>
      <c r="D1" s="18" t="s">
        <v>1</v>
      </c>
      <c r="E1" s="18" t="s">
        <v>2</v>
      </c>
      <c r="F1" s="19" t="s">
        <v>5</v>
      </c>
      <c r="H1" s="17" t="s">
        <v>6</v>
      </c>
      <c r="I1" s="19" t="s">
        <v>7</v>
      </c>
      <c r="K1" s="31" t="s">
        <v>10</v>
      </c>
      <c r="L1" s="32" t="s">
        <v>11</v>
      </c>
      <c r="M1" s="30"/>
      <c r="O1" s="29" t="s">
        <v>8</v>
      </c>
    </row>
    <row r="2" spans="1:15" x14ac:dyDescent="0.2">
      <c r="A2" s="27">
        <v>46143</v>
      </c>
      <c r="B2" s="20">
        <v>1</v>
      </c>
      <c r="C2" s="13">
        <f>Assumptions!$B$2+D2-SUM($E$2:E2)</f>
        <v>3836396374.2268896</v>
      </c>
      <c r="D2" s="14">
        <f>Assumptions!$B$1*(Assumptions!$B$10^30.5)-Assumptions!B1</f>
        <v>136396374.22688961</v>
      </c>
      <c r="E2" s="14">
        <v>0</v>
      </c>
      <c r="F2" s="23">
        <f>0</f>
        <v>0</v>
      </c>
      <c r="H2" s="12">
        <v>0</v>
      </c>
      <c r="I2" s="15">
        <v>0</v>
      </c>
      <c r="K2" s="22">
        <f>IF(B2&gt;Assumptions!$B$6*12+Assumptions!$B$7,"",C2)</f>
        <v>3836396374.2268896</v>
      </c>
      <c r="L2" s="23">
        <f>IF(B2&gt;Assumptions!$B$6*12+Assumptions!$B$7,"",K2/(1+Assumptions!$B$11)^B2)</f>
        <v>3742825730.9530635</v>
      </c>
      <c r="M2" s="2"/>
      <c r="O2" s="33">
        <f>NPV(Assumptions!$B$11,K2:K72,A2:A72)/COUNT(L2:L72)</f>
        <v>2991918271.4320507</v>
      </c>
    </row>
    <row r="3" spans="1:15" ht="17" thickBot="1" x14ac:dyDescent="0.25">
      <c r="A3" s="27">
        <v>46199</v>
      </c>
      <c r="B3" s="20">
        <f>B2+1</f>
        <v>2</v>
      </c>
      <c r="C3" s="13">
        <f>C2+D3+E3</f>
        <v>3941050485.3352361</v>
      </c>
      <c r="D3" s="14">
        <f>C2*Assumptions!$B$10^30.5-C2</f>
        <v>104654111.10834646</v>
      </c>
      <c r="E3" s="14">
        <f>IF(CashFlow!B3&lt;Assumptions!$B$7+1,0,IF(AND(B3&gt;=Assumptions!$B$7,SUM($E$2:E2)&lt;&gt;Assumptions!$B$3),Assumptions!$B$3/(Assumptions!$B$6*12),IF(Assumptions!$B$3=SUM($E$3:E3)=0,0,0)))</f>
        <v>0</v>
      </c>
      <c r="F3" s="23">
        <f>IF(B3&lt;Assumptions!$B$7+1,0,IF(E2&lt;0,Assumptions!$B$3-SUM($E$3:E3),0))</f>
        <v>0</v>
      </c>
      <c r="H3" s="12">
        <v>0</v>
      </c>
      <c r="I3" s="15">
        <v>0</v>
      </c>
      <c r="K3" s="22">
        <f>IF(B3&gt;Assumptions!$B$6*12+Assumptions!$B$7,"",C3)</f>
        <v>3941050485.3352361</v>
      </c>
      <c r="L3" s="23">
        <f>IF(B3&gt;Assumptions!$B$6*12+Assumptions!$B$7,"",K3/(1+Assumptions!$B$11)^B3)</f>
        <v>3751148588.0644727</v>
      </c>
      <c r="M3" s="2"/>
      <c r="O3" s="34">
        <f>SUM(L2:L72)/COUNT(L2:L72)</f>
        <v>2991858268.7886391</v>
      </c>
    </row>
    <row r="4" spans="1:15" ht="17" thickBot="1" x14ac:dyDescent="0.25">
      <c r="A4" s="27">
        <v>46229</v>
      </c>
      <c r="B4" s="20">
        <f t="shared" ref="B4:D48" si="0">B3+1</f>
        <v>3</v>
      </c>
      <c r="C4" s="13">
        <f t="shared" ref="C4:C67" si="1">C3+D4+E4</f>
        <v>4048559484.7042055</v>
      </c>
      <c r="D4" s="14">
        <f>C3*Assumptions!$B$10^30.5-C3</f>
        <v>107508999.36896944</v>
      </c>
      <c r="E4" s="14">
        <f>IF(CashFlow!B4&lt;Assumptions!$B$7+1,0,IF(AND(B4&gt;=Assumptions!$B$7,SUM($E$2:E3)&lt;&gt;Assumptions!$B$3),Assumptions!$B$3/(Assumptions!$B$6*12),IF(Assumptions!$B$3=SUM($E$3:E4)=0,0,0)))</f>
        <v>0</v>
      </c>
      <c r="F4" s="23">
        <f>IF(B4&lt;Assumptions!$B$7+1,0,IF(E3&lt;0,Assumptions!$B$3-SUM($E$3:E4),0))</f>
        <v>0</v>
      </c>
      <c r="H4" s="12">
        <v>0</v>
      </c>
      <c r="I4" s="15">
        <v>0</v>
      </c>
      <c r="K4" s="22">
        <f>IF(B4&gt;Assumptions!$B$6*12+Assumptions!$B$7,"",C4)</f>
        <v>4048559484.7042055</v>
      </c>
      <c r="L4" s="23">
        <f>IF(B4&gt;Assumptions!$B$6*12+Assumptions!$B$7,"",K4/(1+Assumptions!$B$11)^B4)</f>
        <v>3759489952.5698872</v>
      </c>
      <c r="M4" s="2"/>
    </row>
    <row r="5" spans="1:15" x14ac:dyDescent="0.2">
      <c r="A5" s="27">
        <v>46260</v>
      </c>
      <c r="B5" s="20">
        <f t="shared" si="0"/>
        <v>4</v>
      </c>
      <c r="C5" s="13">
        <f t="shared" si="1"/>
        <v>4159001251.6153131</v>
      </c>
      <c r="D5" s="14">
        <f>C4*Assumptions!$B$10^30.5-C4</f>
        <v>110441766.91110754</v>
      </c>
      <c r="E5" s="14">
        <f>IF(CashFlow!B5&lt;Assumptions!$B$7+1,0,IF(AND(B5&gt;=Assumptions!$B$7,SUM($E$2:E4)&lt;&gt;Assumptions!$B$3),Assumptions!$B$3/(Assumptions!$B$6*12),IF(Assumptions!$B$3=SUM($E$3:E5)=0,0,0)))</f>
        <v>0</v>
      </c>
      <c r="F5" s="23">
        <f>IF(B5&lt;Assumptions!$B$7+1,0,IF(E4&lt;0,Assumptions!$B$3-SUM($E$3:E5),0))</f>
        <v>0</v>
      </c>
      <c r="H5" s="12">
        <v>0</v>
      </c>
      <c r="I5" s="15">
        <v>0</v>
      </c>
      <c r="K5" s="22">
        <f>IF(B5&gt;Assumptions!$B$6*12+Assumptions!$B$7,"",C5)</f>
        <v>4159001251.6153131</v>
      </c>
      <c r="L5" s="23">
        <f>IF(B5&gt;Assumptions!$B$6*12+Assumptions!$B$7,"",K5/(1+Assumptions!$B$11)^B5)</f>
        <v>3767849865.6238809</v>
      </c>
      <c r="M5" s="2"/>
      <c r="O5" s="29" t="s">
        <v>20</v>
      </c>
    </row>
    <row r="6" spans="1:15" ht="17" thickBot="1" x14ac:dyDescent="0.25">
      <c r="A6" s="27">
        <v>46291</v>
      </c>
      <c r="B6" s="20">
        <f t="shared" si="0"/>
        <v>5</v>
      </c>
      <c r="C6" s="13">
        <f t="shared" si="1"/>
        <v>4272455789.8403978</v>
      </c>
      <c r="D6" s="14">
        <f>C5*Assumptions!$B$10^30.5-C5</f>
        <v>113454538.22508478</v>
      </c>
      <c r="E6" s="14">
        <f>IF(CashFlow!B6&lt;Assumptions!$B$7+1,0,IF(AND(B6&gt;=Assumptions!$B$7,SUM($E$2:E5)&lt;&gt;Assumptions!$B$3),Assumptions!$B$3/(Assumptions!$B$6*12),IF(Assumptions!$B$3=SUM($E$3:E6)=0,0,0)))</f>
        <v>0</v>
      </c>
      <c r="F6" s="23">
        <f>IF(B6&lt;Assumptions!$B$7+1,0,IF(E5&lt;0,Assumptions!$B$3-SUM($E$3:E6),0))</f>
        <v>0</v>
      </c>
      <c r="H6" s="12">
        <v>0</v>
      </c>
      <c r="I6" s="15">
        <v>0</v>
      </c>
      <c r="K6" s="22">
        <f>IF(B6&gt;Assumptions!$B$6*12+Assumptions!$B$7,"",C6)</f>
        <v>4272455789.8403978</v>
      </c>
      <c r="L6" s="23">
        <f>IF(B6&gt;Assumptions!$B$6*12+Assumptions!$B$7,"",K6/(1+Assumptions!$B$11)^B6)</f>
        <v>3776228368.4725418</v>
      </c>
      <c r="M6" s="2"/>
      <c r="O6" s="34">
        <f>Assumptions!B3</f>
        <v>-5545268253.2047081</v>
      </c>
    </row>
    <row r="7" spans="1:15" x14ac:dyDescent="0.2">
      <c r="A7" s="27">
        <v>46321</v>
      </c>
      <c r="B7" s="20">
        <f t="shared" si="0"/>
        <v>6</v>
      </c>
      <c r="C7" s="13">
        <f t="shared" si="1"/>
        <v>4389005285.59618</v>
      </c>
      <c r="D7" s="14">
        <f>C6*Assumptions!$B$10^30.5-C6</f>
        <v>116549495.75578213</v>
      </c>
      <c r="E7" s="14">
        <f>IF(CashFlow!B7&lt;Assumptions!$B$7+1,0,IF(AND(B7&gt;=Assumptions!$B$7,SUM($E$2:E6)&lt;&gt;Assumptions!$B$3),Assumptions!$B$3/(Assumptions!$B$6*12),IF(Assumptions!$B$3=SUM($E$3:E7)=0,0,0)))</f>
        <v>0</v>
      </c>
      <c r="F7" s="23">
        <f>IF(B7&lt;Assumptions!$B$7+1,0,IF(E6&lt;0,Assumptions!$B$3-SUM($E$3:E7),0))</f>
        <v>0</v>
      </c>
      <c r="H7" s="12">
        <v>0</v>
      </c>
      <c r="I7" s="15">
        <v>0</v>
      </c>
      <c r="K7" s="22">
        <f>IF(B7&gt;Assumptions!$B$6*12+Assumptions!$B$7,"",C7)</f>
        <v>4389005285.59618</v>
      </c>
      <c r="L7" s="23">
        <f>IF(B7&gt;Assumptions!$B$6*12+Assumptions!$B$7,"",K7/(1+Assumptions!$B$11)^B7)</f>
        <v>3784625502.4536757</v>
      </c>
      <c r="M7" s="2"/>
    </row>
    <row r="8" spans="1:15" x14ac:dyDescent="0.2">
      <c r="A8" s="27">
        <v>46352</v>
      </c>
      <c r="B8" s="20">
        <f t="shared" si="0"/>
        <v>7</v>
      </c>
      <c r="C8" s="13">
        <f t="shared" si="1"/>
        <v>4508734167.0797739</v>
      </c>
      <c r="D8" s="14">
        <f>C7*Assumptions!$B$10^30.5-C7</f>
        <v>119728881.48359394</v>
      </c>
      <c r="E8" s="14">
        <f>IF(CashFlow!B8&lt;Assumptions!$B$7+1,0,IF(AND(B8&gt;=Assumptions!$B$7,SUM($E$2:E7)&lt;&gt;Assumptions!$B$3),Assumptions!$B$3/(Assumptions!$B$6*12),IF(Assumptions!$B$3=SUM($E$3:E8)=0,0,0)))</f>
        <v>0</v>
      </c>
      <c r="F8" s="23">
        <f>IF(B8&lt;Assumptions!$B$7+1,0,IF(E7&lt;0,Assumptions!$B$3-SUM($E$3:E8),0))</f>
        <v>0</v>
      </c>
      <c r="H8" s="12">
        <v>0</v>
      </c>
      <c r="I8" s="15">
        <v>0</v>
      </c>
      <c r="K8" s="22">
        <f>IF(B8&gt;Assumptions!$B$6*12+Assumptions!$B$7,"",C8)</f>
        <v>4508734167.0797739</v>
      </c>
      <c r="L8" s="23">
        <f>IF(B8&gt;Assumptions!$B$6*12+Assumptions!$B$7,"",K8/(1+Assumptions!$B$11)^B8)</f>
        <v>3793041308.9970098</v>
      </c>
      <c r="M8" s="2"/>
    </row>
    <row r="9" spans="1:15" x14ac:dyDescent="0.2">
      <c r="A9" s="27">
        <v>46382</v>
      </c>
      <c r="B9" s="20">
        <f t="shared" si="0"/>
        <v>8</v>
      </c>
      <c r="C9" s="13">
        <f t="shared" si="1"/>
        <v>4631729165.6282892</v>
      </c>
      <c r="D9" s="14">
        <f>C8*Assumptions!$B$10^30.5-C8</f>
        <v>122994998.54851532</v>
      </c>
      <c r="E9" s="14">
        <f>IF(CashFlow!B9&lt;Assumptions!$B$7+1,0,IF(AND(B9&gt;=Assumptions!$B$7,SUM($E$2:E8)&lt;&gt;Assumptions!$B$3),Assumptions!$B$3/(Assumptions!$B$6*12),IF(Assumptions!$B$3=SUM($E$3:E9)=0,0,0)))</f>
        <v>0</v>
      </c>
      <c r="F9" s="23">
        <f>IF(B9&lt;Assumptions!$B$7+1,0,IF(E8&lt;0,Assumptions!$B$3-SUM($E$3:E9),0))</f>
        <v>0</v>
      </c>
      <c r="H9" s="12">
        <v>0</v>
      </c>
      <c r="I9" s="15">
        <v>0</v>
      </c>
      <c r="K9" s="22">
        <f>IF(B9&gt;Assumptions!$B$6*12+Assumptions!$B$7,"",C9)</f>
        <v>4631729165.6282892</v>
      </c>
      <c r="L9" s="23">
        <f>IF(B9&gt;Assumptions!$B$6*12+Assumptions!$B$7,"",K9/(1+Assumptions!$B$11)^B9)</f>
        <v>3801475829.6244016</v>
      </c>
      <c r="M9" s="2"/>
    </row>
    <row r="10" spans="1:15" x14ac:dyDescent="0.2">
      <c r="A10" s="27">
        <v>46413</v>
      </c>
      <c r="B10" s="20">
        <f t="shared" si="0"/>
        <v>9</v>
      </c>
      <c r="C10" s="13">
        <f t="shared" si="1"/>
        <v>4758079378.5468159</v>
      </c>
      <c r="D10" s="14">
        <f>C9*Assumptions!$B$10^30.5-C9</f>
        <v>126350212.91852665</v>
      </c>
      <c r="E10" s="14">
        <f>IF(CashFlow!B10&lt;Assumptions!$B$7+1,0,IF(AND(B10&gt;=Assumptions!$B$7,SUM($E$2:E9)&lt;&gt;Assumptions!$B$3),Assumptions!$B$3/(Assumptions!$B$6*12),IF(Assumptions!$B$3=SUM($E$3:E10)=0,0,0)))</f>
        <v>0</v>
      </c>
      <c r="F10" s="23">
        <f>IF(B10&lt;Assumptions!$B$7+1,0,IF(E9&lt;0,Assumptions!$B$3-SUM($E$3:E10),0))</f>
        <v>0</v>
      </c>
      <c r="H10" s="12">
        <v>0</v>
      </c>
      <c r="I10" s="15">
        <v>0</v>
      </c>
      <c r="K10" s="22">
        <f>IF(B10&gt;Assumptions!$B$6*12+Assumptions!$B$7,"",C10)</f>
        <v>4758079378.5468159</v>
      </c>
      <c r="L10" s="23">
        <f>IF(B10&gt;Assumptions!$B$6*12+Assumptions!$B$7,"",K10/(1+Assumptions!$B$11)^B10)</f>
        <v>3809929105.950036</v>
      </c>
      <c r="M10" s="2"/>
    </row>
    <row r="11" spans="1:15" x14ac:dyDescent="0.2">
      <c r="A11" s="27">
        <v>46444</v>
      </c>
      <c r="B11" s="20">
        <f t="shared" si="0"/>
        <v>10</v>
      </c>
      <c r="C11" s="13">
        <f t="shared" si="1"/>
        <v>4887876333.6503191</v>
      </c>
      <c r="D11" s="14">
        <f>C10*Assumptions!$B$10^30.5-C10</f>
        <v>129796955.10350323</v>
      </c>
      <c r="E11" s="14">
        <f>IF(CashFlow!B11&lt;Assumptions!$B$7+1,0,IF(AND(B11&gt;=Assumptions!$B$7,SUM($E$2:E10)&lt;&gt;Assumptions!$B$3),Assumptions!$B$3/(Assumptions!$B$6*12),IF(Assumptions!$B$3=SUM($E$3:E11)=0,0,0)))</f>
        <v>0</v>
      </c>
      <c r="F11" s="23">
        <f>IF(B11&lt;Assumptions!$B$7+1,0,IF(E10&lt;0,Assumptions!$B$3-SUM($E$3:E11),0))</f>
        <v>0</v>
      </c>
      <c r="H11" s="12">
        <v>0</v>
      </c>
      <c r="I11" s="15">
        <v>0</v>
      </c>
      <c r="K11" s="22">
        <f>IF(B11&gt;Assumptions!$B$6*12+Assumptions!$B$7,"",C11)</f>
        <v>4887876333.6503191</v>
      </c>
      <c r="L11" s="23">
        <f>IF(B11&gt;Assumptions!$B$6*12+Assumptions!$B$7,"",K11/(1+Assumptions!$B$11)^B11)</f>
        <v>3818401179.6806359</v>
      </c>
      <c r="M11" s="2"/>
    </row>
    <row r="12" spans="1:15" x14ac:dyDescent="0.2">
      <c r="A12" s="27">
        <v>46472</v>
      </c>
      <c r="B12" s="20">
        <f t="shared" si="0"/>
        <v>11</v>
      </c>
      <c r="C12" s="13">
        <f t="shared" si="1"/>
        <v>5021214055.566184</v>
      </c>
      <c r="D12" s="14">
        <f>C11*Assumptions!$B$10^30.5-C11</f>
        <v>133337721.91586494</v>
      </c>
      <c r="E12" s="14">
        <f>IF(CashFlow!B12&lt;Assumptions!$B$7+1,0,IF(AND(B12&gt;=Assumptions!$B$7,SUM($E$2:E11)&lt;&gt;Assumptions!$B$3),Assumptions!$B$3/(Assumptions!$B$6*12),IF(Assumptions!$B$3=SUM($E$3:E12)=0,0,0)))</f>
        <v>0</v>
      </c>
      <c r="F12" s="23">
        <f>IF(B12&lt;Assumptions!$B$7+1,0,IF(E11&lt;0,Assumptions!$B$3-SUM($E$3:E12),0))</f>
        <v>0</v>
      </c>
      <c r="H12" s="12">
        <v>0</v>
      </c>
      <c r="I12" s="15">
        <v>0</v>
      </c>
      <c r="K12" s="22">
        <f>IF(B12&gt;Assumptions!$B$6*12+Assumptions!$B$7,"",C12)</f>
        <v>5021214055.566184</v>
      </c>
      <c r="L12" s="23">
        <f>IF(B12&gt;Assumptions!$B$6*12+Assumptions!$B$7,"",K12/(1+Assumptions!$B$11)^B12)</f>
        <v>3826892092.6156673</v>
      </c>
      <c r="M12" s="2"/>
    </row>
    <row r="13" spans="1:15" x14ac:dyDescent="0.2">
      <c r="A13" s="27">
        <v>46503</v>
      </c>
      <c r="B13" s="20">
        <f t="shared" si="0"/>
        <v>12</v>
      </c>
      <c r="C13" s="13">
        <f t="shared" si="1"/>
        <v>4233977758.3113303</v>
      </c>
      <c r="D13" s="14">
        <f>C12*Assumptions!$B$10^30.5-C12</f>
        <v>136975078.27926445</v>
      </c>
      <c r="E13" s="14">
        <f>IF(CashFlow!B13&lt;Assumptions!$B$7+1,0,IF(AND(B13&gt;=Assumptions!$B$7,SUM($E$2:E12)&lt;&gt;Assumptions!$B$3),Assumptions!$B$3/(Assumptions!$B$6*12),IF(Assumptions!$B$3=SUM($E$3:E13)=0,0,0)))</f>
        <v>-924211375.53411806</v>
      </c>
      <c r="F13" s="23">
        <f>IF(B13&lt;Assumptions!$B$7+1,0,IF(E12&lt;0,Assumptions!$B$3-SUM($E$3:E13),0))</f>
        <v>0</v>
      </c>
      <c r="H13" s="12">
        <v>0</v>
      </c>
      <c r="I13" s="15">
        <v>0</v>
      </c>
      <c r="K13" s="22">
        <f>IF(B13&gt;Assumptions!$B$6*12+Assumptions!$B$7,"",C13)</f>
        <v>4233977758.3113303</v>
      </c>
      <c r="L13" s="23">
        <f>IF(B13&gt;Assumptions!$B$6*12+Assumptions!$B$7,"",K13/(1+Assumptions!$B$11)^B13)</f>
        <v>3148199079.3433323</v>
      </c>
      <c r="M13" s="2"/>
    </row>
    <row r="14" spans="1:15" x14ac:dyDescent="0.2">
      <c r="A14" s="27">
        <v>46533</v>
      </c>
      <c r="B14" s="20">
        <f t="shared" si="0"/>
        <v>13</v>
      </c>
      <c r="C14" s="13">
        <f t="shared" si="1"/>
        <v>3425266225.7354035</v>
      </c>
      <c r="D14" s="14">
        <f>C13*Assumptions!$B$10^30.5-C13</f>
        <v>115499842.95819139</v>
      </c>
      <c r="E14" s="14">
        <f>IF(CashFlow!B14&lt;Assumptions!$B$7+1,0,IF(AND(B14&gt;=Assumptions!$B$7,SUM($E$2:E13)&lt;&gt;Assumptions!$B$3),Assumptions!$B$3/(Assumptions!$B$6*12),IF(Assumptions!$B$3=SUM($E$3:E14)=0,0,0)))</f>
        <v>-924211375.53411806</v>
      </c>
      <c r="F14" s="23">
        <f>IF(B14&lt;Assumptions!$B$7+1,0,IF(E13&lt;0,Assumptions!$B$3-SUM($E$3:E14),0))</f>
        <v>-3696845502.1364717</v>
      </c>
      <c r="G14" s="2"/>
      <c r="H14" s="22">
        <f>IF(E14=0,D14,0)</f>
        <v>0</v>
      </c>
      <c r="I14" s="23">
        <f>IF(E14=0,C14+D14,0)</f>
        <v>0</v>
      </c>
      <c r="K14" s="22">
        <f>IF(B14&gt;Assumptions!$B$6*12+Assumptions!$B$7,"",C14)</f>
        <v>3425266225.7354035</v>
      </c>
      <c r="L14" s="23">
        <f>IF(B14&gt;Assumptions!$B$6*12+Assumptions!$B$7,"",K14/(1+Assumptions!$B$11)^B14)</f>
        <v>2484757912.1877961</v>
      </c>
      <c r="M14" s="2"/>
    </row>
    <row r="15" spans="1:15" x14ac:dyDescent="0.2">
      <c r="A15" s="27">
        <v>46564</v>
      </c>
      <c r="B15" s="20">
        <f t="shared" si="0"/>
        <v>14</v>
      </c>
      <c r="C15" s="13">
        <f t="shared" si="1"/>
        <v>2594493628.9917116</v>
      </c>
      <c r="D15" s="14">
        <f>C14*Assumptions!$B$10^30.5-C14</f>
        <v>93438778.790426254</v>
      </c>
      <c r="E15" s="14">
        <f>IF(CashFlow!B15&lt;Assumptions!$B$7+1,0,IF(AND(B15&gt;=Assumptions!$B$7,SUM($E$2:E14)&lt;&gt;Assumptions!$B$3),Assumptions!$B$3/(Assumptions!$B$6*12),IF(Assumptions!$B$3=SUM($E$3:E15)=0,0,0)))</f>
        <v>-924211375.53411806</v>
      </c>
      <c r="F15" s="23">
        <f>IF(B15&lt;Assumptions!$B$7+1,0,IF(E14&lt;0,Assumptions!$B$3-SUM($E$3:E15),0))</f>
        <v>-2772634126.602354</v>
      </c>
      <c r="H15" s="22">
        <f t="shared" ref="H15:H72" si="2">IF(E15=0,D15,0)</f>
        <v>0</v>
      </c>
      <c r="I15" s="23">
        <f t="shared" ref="I15:I72" si="3">IF(E15=0,C15+D15,0)</f>
        <v>0</v>
      </c>
      <c r="K15" s="22">
        <f>IF(B15&gt;Assumptions!$B$6*12+Assumptions!$B$7,"",C15)</f>
        <v>2594493628.9917116</v>
      </c>
      <c r="L15" s="23">
        <f>IF(B15&gt;Assumptions!$B$6*12+Assumptions!$B$7,"",K15/(1+Assumptions!$B$11)^B15)</f>
        <v>1836193700.4633875</v>
      </c>
      <c r="M15" s="2"/>
    </row>
    <row r="16" spans="1:15" x14ac:dyDescent="0.2">
      <c r="A16" s="27">
        <v>46594</v>
      </c>
      <c r="B16" s="20">
        <f t="shared" si="0"/>
        <v>15</v>
      </c>
      <c r="C16" s="13">
        <f t="shared" si="1"/>
        <v>1741058158.2474403</v>
      </c>
      <c r="D16" s="14">
        <f>C15*Assumptions!$B$10^30.5-C15</f>
        <v>70775904.789846897</v>
      </c>
      <c r="E16" s="14">
        <f>IF(CashFlow!B16&lt;Assumptions!$B$7+1,0,IF(AND(B16&gt;=Assumptions!$B$7,SUM($E$2:E15)&lt;&gt;Assumptions!$B$3),Assumptions!$B$3/(Assumptions!$B$6*12),IF(Assumptions!$B$3=SUM($E$3:E16)=0,0,0)))</f>
        <v>-924211375.53411806</v>
      </c>
      <c r="F16" s="23">
        <f>IF(B16&lt;Assumptions!$B$7+1,0,IF(E15&lt;0,Assumptions!$B$3-SUM($E$3:E16),0))</f>
        <v>-1848422751.0682359</v>
      </c>
      <c r="H16" s="22">
        <f t="shared" si="2"/>
        <v>0</v>
      </c>
      <c r="I16" s="23">
        <f t="shared" si="3"/>
        <v>0</v>
      </c>
      <c r="K16" s="22">
        <f>IF(B16&gt;Assumptions!$B$6*12+Assumptions!$B$7,"",C16)</f>
        <v>1741058158.2474403</v>
      </c>
      <c r="L16" s="23">
        <f>IF(B16&gt;Assumptions!$B$6*12+Assumptions!$B$7,"",K16/(1+Assumptions!$B$11)^B16)</f>
        <v>1202140690.7233779</v>
      </c>
      <c r="M16" s="2"/>
    </row>
    <row r="17" spans="1:14" x14ac:dyDescent="0.2">
      <c r="A17" s="27">
        <v>46625</v>
      </c>
      <c r="B17" s="20">
        <f t="shared" si="0"/>
        <v>16</v>
      </c>
      <c r="C17" s="13">
        <f t="shared" si="1"/>
        <v>864341586.73394167</v>
      </c>
      <c r="D17" s="14">
        <f>C16*Assumptions!$B$10^30.5-C16</f>
        <v>47494804.020619392</v>
      </c>
      <c r="E17" s="14">
        <f>IF(CashFlow!B17&lt;Assumptions!$B$7+1,0,IF(AND(B17&gt;=Assumptions!$B$7,SUM($E$2:E16)&lt;&gt;Assumptions!$B$3),Assumptions!$B$3/(Assumptions!$B$6*12),IF(Assumptions!$B$3=SUM($E$3:E17)=0,0,0)))</f>
        <v>-924211375.53411806</v>
      </c>
      <c r="F17" s="23">
        <f>IF(B17&lt;Assumptions!$B$7+1,0,IF(E16&lt;0,Assumptions!$B$3-SUM($E$3:E17),0))</f>
        <v>-924211375.5341177</v>
      </c>
      <c r="H17" s="22">
        <f t="shared" si="2"/>
        <v>0</v>
      </c>
      <c r="I17" s="23">
        <f t="shared" si="3"/>
        <v>0</v>
      </c>
      <c r="K17" s="22">
        <f>IF(B17&gt;Assumptions!$B$6*12+Assumptions!$B$7,"",C17)</f>
        <v>864341586.73394167</v>
      </c>
      <c r="L17" s="23">
        <f>IF(B17&gt;Assumptions!$B$6*12+Assumptions!$B$7,"",K17/(1+Assumptions!$B$11)^B17)</f>
        <v>582242043.88618886</v>
      </c>
      <c r="M17" s="2"/>
    </row>
    <row r="18" spans="1:14" x14ac:dyDescent="0.2">
      <c r="A18" s="27">
        <v>46656</v>
      </c>
      <c r="B18" s="20">
        <f t="shared" si="0"/>
        <v>17</v>
      </c>
      <c r="C18" s="13">
        <f t="shared" si="1"/>
        <v>-36291177.095371246</v>
      </c>
      <c r="D18" s="14">
        <f>C17*Assumptions!$B$10^30.5-C17</f>
        <v>23578611.704805136</v>
      </c>
      <c r="E18" s="14">
        <f>IF(CashFlow!B18&lt;Assumptions!$B$7+1,0,IF(AND(B18&gt;=Assumptions!$B$7,SUM($E$2:E17)&lt;&gt;Assumptions!$B$3),Assumptions!$B$3/(Assumptions!$B$6*12),IF(Assumptions!$B$3=SUM($E$3:E18)=0,0,0)))</f>
        <v>-924211375.53411806</v>
      </c>
      <c r="F18" s="23">
        <f>IF(B18&lt;Assumptions!$B$7+1,0,IF(E17&lt;0,Assumptions!$B$3-SUM($E$3:E18),0))</f>
        <v>0</v>
      </c>
      <c r="H18" s="22">
        <f t="shared" si="2"/>
        <v>0</v>
      </c>
      <c r="I18" s="23">
        <f t="shared" si="3"/>
        <v>0</v>
      </c>
      <c r="K18" s="22">
        <f>IF(B18&gt;Assumptions!$B$6*12+Assumptions!$B$7,"",C18)</f>
        <v>-36291177.095371246</v>
      </c>
      <c r="L18" s="23">
        <f>IF(B18&gt;Assumptions!$B$6*12+Assumptions!$B$7,"",K18/(1+Assumptions!$B$11)^B18)</f>
        <v>-23850382.20249638</v>
      </c>
      <c r="M18" s="2"/>
    </row>
    <row r="19" spans="1:14" x14ac:dyDescent="0.2">
      <c r="A19" s="27">
        <v>46686</v>
      </c>
      <c r="B19" s="20">
        <f t="shared" si="0"/>
        <v>18</v>
      </c>
      <c r="C19" s="13">
        <f t="shared" ca="1" si="1"/>
        <v>-37281174.089818157</v>
      </c>
      <c r="D19" s="14">
        <f>C18*Assumptions!$B$10^30.5-C18</f>
        <v>-989996.99444691092</v>
      </c>
      <c r="E19" s="14">
        <f ca="1">IF(CashFlow!B19&lt;Assumptions!$B$7+1,0,IF(AND(B19&gt;=Assumptions!$B$7,SUM($E$2:E18)&lt;&gt;Assumptions!$B$3),Assumptions!$B$3/(Assumptions!$B$6*12),IF(Assumptions!$B$3=SUM($E$3:E19)=0,0,0)))</f>
        <v>0</v>
      </c>
      <c r="F19" s="23">
        <f ca="1">IF(B19&lt;Assumptions!$B$7+1,0,IF(E18&lt;0,Assumptions!$B$3-SUM($E$3:E19),0))</f>
        <v>0</v>
      </c>
      <c r="G19" s="3"/>
      <c r="H19" s="22">
        <f t="shared" ca="1" si="2"/>
        <v>-989996.99444691092</v>
      </c>
      <c r="I19" s="23">
        <f t="shared" ca="1" si="3"/>
        <v>-38271171.084265068</v>
      </c>
      <c r="K19" s="22" t="str">
        <f>IF(B19&gt;Assumptions!$B$6*12+Assumptions!$B$7,"",C19)</f>
        <v/>
      </c>
      <c r="L19" s="23" t="str">
        <f>IF(B19&gt;Assumptions!$B$6*12+Assumptions!$B$7,"",K19/(1+Assumptions!$B$11)^B19)</f>
        <v/>
      </c>
      <c r="M19" s="2"/>
      <c r="N19" s="2"/>
    </row>
    <row r="20" spans="1:14" x14ac:dyDescent="0.2">
      <c r="A20" s="27">
        <v>46717</v>
      </c>
      <c r="B20" s="20">
        <f t="shared" si="0"/>
        <v>19</v>
      </c>
      <c r="C20" s="13">
        <f t="shared" ca="1" si="1"/>
        <v>-38298177.484372683</v>
      </c>
      <c r="D20" s="14">
        <f ca="1">C19*Assumptions!$B$10^30.5-C19</f>
        <v>-1017003.3945545256</v>
      </c>
      <c r="E20" s="14">
        <f ca="1">IF(CashFlow!B20&lt;Assumptions!$B$7+1,0,IF(AND(B20&gt;=Assumptions!$B$7,SUM($E$2:E19)&lt;&gt;Assumptions!$B$3),Assumptions!$B$3/(Assumptions!$B$6*12),IF(Assumptions!$B$3=SUM($E$3:E20)=0,0,0)))</f>
        <v>0</v>
      </c>
      <c r="F20" s="23">
        <f ca="1">IF(B20&lt;Assumptions!$B$7+1,0,IF(E19&lt;0,Assumptions!$B$3-SUM($E$3:E20),0))</f>
        <v>0</v>
      </c>
      <c r="H20" s="22">
        <f t="shared" ca="1" si="2"/>
        <v>-1017003.3945545256</v>
      </c>
      <c r="I20" s="23">
        <f t="shared" ca="1" si="3"/>
        <v>-39315180.878927208</v>
      </c>
      <c r="K20" s="22" t="str">
        <f>IF(B20&gt;Assumptions!$B$6*12+Assumptions!$B$7,"",C20)</f>
        <v/>
      </c>
      <c r="L20" s="23" t="str">
        <f>IF(B20&gt;Assumptions!$B$6*12+Assumptions!$B$7,"",K20/(1+Assumptions!$B$11)^B20)</f>
        <v/>
      </c>
      <c r="M20" s="2"/>
    </row>
    <row r="21" spans="1:14" x14ac:dyDescent="0.2">
      <c r="A21" s="27">
        <v>46747</v>
      </c>
      <c r="B21" s="20">
        <f t="shared" si="0"/>
        <v>20</v>
      </c>
      <c r="C21" s="13">
        <f t="shared" ca="1" si="1"/>
        <v>-39342923.994045943</v>
      </c>
      <c r="D21" s="14">
        <f ca="1">C20*Assumptions!$B$10^30.5-C20</f>
        <v>-1044746.5096732602</v>
      </c>
      <c r="E21" s="14">
        <f ca="1">IF(CashFlow!B21&lt;Assumptions!$B$7+1,0,IF(AND(B21&gt;=Assumptions!$B$7,SUM($E$2:E20)&lt;&gt;Assumptions!$B$3),Assumptions!$B$3/(Assumptions!$B$6*12),IF(Assumptions!$B$3=SUM($E$3:E21)=0,0,0)))</f>
        <v>0</v>
      </c>
      <c r="F21" s="23">
        <f ca="1">IF(B21&lt;Assumptions!$B$7+1,0,IF(E20&lt;0,Assumptions!$B$3-SUM($E$3:E21),0))</f>
        <v>0</v>
      </c>
      <c r="H21" s="22">
        <f t="shared" ca="1" si="2"/>
        <v>-1044746.5096732602</v>
      </c>
      <c r="I21" s="23">
        <f t="shared" ca="1" si="3"/>
        <v>-40387670.503719203</v>
      </c>
      <c r="K21" s="22" t="str">
        <f>IF(B21&gt;Assumptions!$B$6*12+Assumptions!$B$7,"",C21)</f>
        <v/>
      </c>
      <c r="L21" s="23" t="str">
        <f>IF(B21&gt;Assumptions!$B$6*12+Assumptions!$B$7,"",K21/(1+Assumptions!$B$11)^B21)</f>
        <v/>
      </c>
      <c r="M21" s="2"/>
    </row>
    <row r="22" spans="1:14" x14ac:dyDescent="0.2">
      <c r="A22" s="27">
        <v>46778</v>
      </c>
      <c r="B22" s="20">
        <f t="shared" si="0"/>
        <v>21</v>
      </c>
      <c r="C22" s="13">
        <f t="shared" ca="1" si="1"/>
        <v>-40416170.430900335</v>
      </c>
      <c r="D22" s="14">
        <f ca="1">C21*Assumptions!$B$10^30.5-C21</f>
        <v>-1073246.4368543923</v>
      </c>
      <c r="E22" s="14">
        <f ca="1">IF(CashFlow!B22&lt;Assumptions!$B$7+1,0,IF(AND(B22&gt;=Assumptions!$B$7,SUM($E$2:E21)&lt;&gt;Assumptions!$B$3),Assumptions!$B$3/(Assumptions!$B$6*12),IF(Assumptions!$B$3=SUM($E$3:E22)=0,0,0)))</f>
        <v>0</v>
      </c>
      <c r="F22" s="23">
        <f ca="1">IF(B22&lt;Assumptions!$B$7+1,0,IF(E21&lt;0,Assumptions!$B$3-SUM($E$3:E22),0))</f>
        <v>0</v>
      </c>
      <c r="H22" s="22">
        <f t="shared" ca="1" si="2"/>
        <v>-1073246.4368543923</v>
      </c>
      <c r="I22" s="23">
        <f t="shared" ca="1" si="3"/>
        <v>-41489416.867754728</v>
      </c>
      <c r="K22" s="22" t="str">
        <f>IF(B22&gt;Assumptions!$B$6*12+Assumptions!$B$7,"",C22)</f>
        <v/>
      </c>
      <c r="L22" s="23" t="str">
        <f>IF(B22&gt;Assumptions!$B$6*12+Assumptions!$B$7,"",K22/(1+Assumptions!$B$11)^B22)</f>
        <v/>
      </c>
      <c r="M22" s="2"/>
    </row>
    <row r="23" spans="1:14" x14ac:dyDescent="0.2">
      <c r="A23" s="27">
        <v>46809</v>
      </c>
      <c r="B23" s="20">
        <f t="shared" si="0"/>
        <v>22</v>
      </c>
      <c r="C23" s="13">
        <f t="shared" ca="1" si="1"/>
        <v>-41518694.2522825</v>
      </c>
      <c r="D23" s="14">
        <f ca="1">C22*Assumptions!$B$10^30.5-C22</f>
        <v>-1102523.821382165</v>
      </c>
      <c r="E23" s="14">
        <f ca="1">IF(CashFlow!B23&lt;Assumptions!$B$7+1,0,IF(AND(B23&gt;=Assumptions!$B$7,SUM($E$2:E22)&lt;&gt;Assumptions!$B$3),Assumptions!$B$3/(Assumptions!$B$6*12),IF(Assumptions!$B$3=SUM($E$3:E23)=0,0,0)))</f>
        <v>0</v>
      </c>
      <c r="F23" s="23">
        <f ca="1">IF(B23&lt;Assumptions!$B$7+1,0,IF(E22&lt;0,Assumptions!$B$3-SUM($E$3:E23),0))</f>
        <v>0</v>
      </c>
      <c r="H23" s="22">
        <f t="shared" ca="1" si="2"/>
        <v>-1102523.821382165</v>
      </c>
      <c r="I23" s="23">
        <f t="shared" ca="1" si="3"/>
        <v>-42621218.073664665</v>
      </c>
      <c r="K23" s="22" t="str">
        <f>IF(B23&gt;Assumptions!$B$6*12+Assumptions!$B$7,"",C23)</f>
        <v/>
      </c>
      <c r="L23" s="23" t="str">
        <f>IF(B23&gt;Assumptions!$B$6*12+Assumptions!$B$7,"",K23/(1+Assumptions!$B$11)^B23)</f>
        <v/>
      </c>
      <c r="M23" s="2"/>
    </row>
    <row r="24" spans="1:14" x14ac:dyDescent="0.2">
      <c r="A24" s="27">
        <v>46838</v>
      </c>
      <c r="B24" s="20">
        <f t="shared" si="0"/>
        <v>23</v>
      </c>
      <c r="C24" s="13">
        <f t="shared" ca="1" si="1"/>
        <v>-42651294.124011725</v>
      </c>
      <c r="D24" s="14">
        <f ca="1">C23*Assumptions!$B$10^30.5-C23</f>
        <v>-1132599.8717292249</v>
      </c>
      <c r="E24" s="14">
        <f ca="1">IF(CashFlow!B24&lt;Assumptions!$B$7+1,0,IF(AND(B24&gt;=Assumptions!$B$7,SUM($E$2:E23)&lt;&gt;Assumptions!$B$3),Assumptions!$B$3/(Assumptions!$B$6*12),IF(Assumptions!$B$3=SUM($E$3:E24)=0,0,0)))</f>
        <v>0</v>
      </c>
      <c r="F24" s="23">
        <f ca="1">IF(B24&lt;Assumptions!$B$7+1,0,IF(E23&lt;0,Assumptions!$B$3-SUM($E$3:E24),0))</f>
        <v>0</v>
      </c>
      <c r="H24" s="22">
        <f t="shared" ca="1" si="2"/>
        <v>-1132599.8717292249</v>
      </c>
      <c r="I24" s="23">
        <f t="shared" ca="1" si="3"/>
        <v>-43783893.99574095</v>
      </c>
      <c r="K24" s="22" t="str">
        <f>IF(B24&gt;Assumptions!$B$6*12+Assumptions!$B$7,"",C24)</f>
        <v/>
      </c>
      <c r="L24" s="23" t="str">
        <f>IF(B24&gt;Assumptions!$B$6*12+Assumptions!$B$7,"",K24/(1+Assumptions!$B$11)^B24)</f>
        <v/>
      </c>
    </row>
    <row r="25" spans="1:14" x14ac:dyDescent="0.2">
      <c r="A25" s="27">
        <v>46869</v>
      </c>
      <c r="B25" s="20">
        <f t="shared" si="0"/>
        <v>24</v>
      </c>
      <c r="C25" s="13">
        <f t="shared" ca="1" si="1"/>
        <v>-43814790.498931691</v>
      </c>
      <c r="D25" s="14">
        <f ca="1">C24*Assumptions!$B$10^30.5-C24</f>
        <v>-1163496.3749199659</v>
      </c>
      <c r="E25" s="14">
        <f ca="1">IF(CashFlow!B25&lt;Assumptions!$B$7+1,0,IF(AND(B25&gt;=Assumptions!$B$7,SUM($E$2:E24)&lt;&gt;Assumptions!$B$3),Assumptions!$B$3/(Assumptions!$B$6*12),IF(Assumptions!$B$3=SUM($E$3:E25)=0,0,0)))</f>
        <v>0</v>
      </c>
      <c r="F25" s="23">
        <f ca="1">IF(B25&lt;Assumptions!$B$7+1,0,IF(E24&lt;0,Assumptions!$B$3-SUM($E$3:E25),0))</f>
        <v>0</v>
      </c>
      <c r="H25" s="22">
        <f t="shared" ca="1" si="2"/>
        <v>-1163496.3749199659</v>
      </c>
      <c r="I25" s="23">
        <f t="shared" ca="1" si="3"/>
        <v>-44978286.873851657</v>
      </c>
      <c r="K25" s="22" t="str">
        <f>IF(B25&gt;Assumptions!$B$6*12+Assumptions!$B$7,"",C25)</f>
        <v/>
      </c>
      <c r="L25" s="23" t="str">
        <f>IF(B25&gt;Assumptions!$B$6*12+Assumptions!$B$7,"",K25/(1+Assumptions!$B$11)^B25)</f>
        <v/>
      </c>
    </row>
    <row r="26" spans="1:14" x14ac:dyDescent="0.2">
      <c r="A26" s="27">
        <v>46899</v>
      </c>
      <c r="B26" s="20">
        <f t="shared" si="0"/>
        <v>25</v>
      </c>
      <c r="C26" s="13">
        <f t="shared" ref="C26:C72" ca="1" si="4">C25+D26+E26</f>
        <v>-45010026.211244695</v>
      </c>
      <c r="D26" s="14">
        <f ca="1">C25*Assumptions!$B$10^30.5-C25</f>
        <v>-1195235.7123130038</v>
      </c>
      <c r="E26" s="14">
        <f ca="1">IF(CashFlow!B26&lt;Assumptions!$B$7+1,0,IF(AND(B26&gt;=Assumptions!$B$7,SUM($E$2:E25)&lt;&gt;Assumptions!$B$3),Assumptions!$B$3/(Assumptions!$B$6*12),IF(Assumptions!$B$3=SUM($E$3:E26)=0,0,0)))</f>
        <v>0</v>
      </c>
      <c r="F26" s="23">
        <f ca="1">IF(B26&lt;Assumptions!$B$7+1,0,IF(E25&lt;0,Assumptions!$B$3-SUM($E$3:E26),0))</f>
        <v>0</v>
      </c>
      <c r="H26" s="22">
        <f t="shared" ca="1" si="2"/>
        <v>-1195235.7123130038</v>
      </c>
      <c r="I26" s="23">
        <f t="shared" ca="1" si="3"/>
        <v>-46205261.923557699</v>
      </c>
      <c r="K26" s="22" t="str">
        <f>IF(B26&gt;Assumptions!$B$6*12+Assumptions!$B$7,"",C26)</f>
        <v/>
      </c>
      <c r="L26" s="23" t="str">
        <f>IF(B26&gt;Assumptions!$B$6*12+Assumptions!$B$7,"",K26/(1+Assumptions!$B$11)^B26)</f>
        <v/>
      </c>
      <c r="M26" s="2"/>
    </row>
    <row r="27" spans="1:14" x14ac:dyDescent="0.2">
      <c r="A27" s="27">
        <v>46930</v>
      </c>
      <c r="B27" s="20">
        <f t="shared" si="0"/>
        <v>26</v>
      </c>
      <c r="C27" s="13">
        <f t="shared" ca="1" si="4"/>
        <v>-46237867.087058902</v>
      </c>
      <c r="D27" s="14">
        <f ca="1">C26*Assumptions!$B$10^30.5-C26</f>
        <v>-1227840.8758142069</v>
      </c>
      <c r="E27" s="14">
        <f ca="1">IF(CashFlow!B27&lt;Assumptions!$B$7+1,0,IF(AND(B27&gt;=Assumptions!$B$7,SUM($E$2:E26)&lt;&gt;Assumptions!$B$3),Assumptions!$B$3/(Assumptions!$B$6*12),IF(Assumptions!$B$3=SUM($E$3:E27)=0,0,0)))</f>
        <v>0</v>
      </c>
      <c r="F27" s="23">
        <f ca="1">IF(B27&lt;Assumptions!$B$7+1,0,IF(E26&lt;0,Assumptions!$B$3-SUM($E$3:E27),0))</f>
        <v>0</v>
      </c>
      <c r="H27" s="22">
        <f t="shared" ca="1" si="2"/>
        <v>-1227840.8758142069</v>
      </c>
      <c r="I27" s="23">
        <f t="shared" ca="1" si="3"/>
        <v>-47465707.962873109</v>
      </c>
      <c r="K27" s="22" t="str">
        <f>IF(B27&gt;Assumptions!$B$6*12+Assumptions!$B$7,"",C27)</f>
        <v/>
      </c>
      <c r="L27" s="23" t="str">
        <f>IF(B27&gt;Assumptions!$B$6*12+Assumptions!$B$7,"",K27/(1+Assumptions!$B$11)^B27)</f>
        <v/>
      </c>
      <c r="M27" s="2"/>
    </row>
    <row r="28" spans="1:14" x14ac:dyDescent="0.2">
      <c r="A28" s="27">
        <v>46960</v>
      </c>
      <c r="B28" s="20">
        <f t="shared" si="0"/>
        <v>27</v>
      </c>
      <c r="C28" s="13">
        <f t="shared" ca="1" si="4"/>
        <v>-47499202.571590833</v>
      </c>
      <c r="D28" s="14">
        <f ca="1">C27*Assumptions!$B$10^30.5-C27</f>
        <v>-1261335.4845319316</v>
      </c>
      <c r="E28" s="14">
        <f ca="1">IF(CashFlow!B28&lt;Assumptions!$B$7+1,0,IF(AND(B28&gt;=Assumptions!$B$7,SUM($E$2:E27)&lt;&gt;Assumptions!$B$3),Assumptions!$B$3/(Assumptions!$B$6*12),IF(Assumptions!$B$3=SUM($E$3:E28)=0,0,0)))</f>
        <v>0</v>
      </c>
      <c r="F28" s="23">
        <f ca="1">IF(B28&lt;Assumptions!$B$7+1,0,IF(E27&lt;0,Assumptions!$B$3-SUM($E$3:E28),0))</f>
        <v>0</v>
      </c>
      <c r="H28" s="22">
        <f t="shared" ca="1" si="2"/>
        <v>-1261335.4845319316</v>
      </c>
      <c r="I28" s="23">
        <f t="shared" ca="1" si="3"/>
        <v>-48760538.056122765</v>
      </c>
      <c r="K28" s="22" t="str">
        <f>IF(B28&gt;Assumptions!$B$6*12+Assumptions!$B$7,"",C28)</f>
        <v/>
      </c>
      <c r="L28" s="23" t="str">
        <f>IF(B28&gt;Assumptions!$B$6*12+Assumptions!$B$7,"",K28/(1+Assumptions!$B$11)^B28)</f>
        <v/>
      </c>
      <c r="M28" s="2"/>
    </row>
    <row r="29" spans="1:14" x14ac:dyDescent="0.2">
      <c r="A29" s="27">
        <v>46991</v>
      </c>
      <c r="B29" s="20">
        <f t="shared" si="0"/>
        <v>28</v>
      </c>
      <c r="C29" s="13">
        <f t="shared" ca="1" si="4"/>
        <v>-48794946.373477541</v>
      </c>
      <c r="D29" s="14">
        <f ca="1">C28*Assumptions!$B$10^30.5-C28</f>
        <v>-1295743.8018867075</v>
      </c>
      <c r="E29" s="14">
        <f ca="1">IF(CashFlow!B29&lt;Assumptions!$B$7+1,0,IF(AND(B29&gt;=Assumptions!$B$7,SUM($E$2:E28)&lt;&gt;Assumptions!$B$3),Assumptions!$B$3/(Assumptions!$B$6*12),IF(Assumptions!$B$3=SUM($E$3:E29)=0,0,0)))</f>
        <v>0</v>
      </c>
      <c r="F29" s="23">
        <f ca="1">IF(B29&lt;Assumptions!$B$7+1,0,IF(E28&lt;0,Assumptions!$B$3-SUM($E$3:E29),0))</f>
        <v>0</v>
      </c>
      <c r="H29" s="22">
        <f t="shared" ca="1" si="2"/>
        <v>-1295743.8018867075</v>
      </c>
      <c r="I29" s="23">
        <f t="shared" ca="1" si="3"/>
        <v>-50090690.175364248</v>
      </c>
      <c r="K29" s="22" t="str">
        <f>IF(B29&gt;Assumptions!$B$6*12+Assumptions!$B$7,"",C29)</f>
        <v/>
      </c>
      <c r="L29" s="23" t="str">
        <f>IF(B29&gt;Assumptions!$B$6*12+Assumptions!$B$7,"",K29/(1+Assumptions!$B$11)^B29)</f>
        <v/>
      </c>
      <c r="M29" s="2"/>
    </row>
    <row r="30" spans="1:14" x14ac:dyDescent="0.2">
      <c r="A30" s="27">
        <v>47022</v>
      </c>
      <c r="B30" s="20">
        <f t="shared" si="0"/>
        <v>29</v>
      </c>
      <c r="C30" s="13">
        <f t="shared" ca="1" si="4"/>
        <v>-50126037.126665108</v>
      </c>
      <c r="D30" s="14">
        <f ca="1">C29*Assumptions!$B$10^30.5-C29</f>
        <v>-1331090.753187567</v>
      </c>
      <c r="E30" s="14">
        <f ca="1">IF(CashFlow!B30&lt;Assumptions!$B$7+1,0,IF(AND(B30&gt;=Assumptions!$B$7,SUM($E$2:E29)&lt;&gt;Assumptions!$B$3),Assumptions!$B$3/(Assumptions!$B$6*12),IF(Assumptions!$B$3=SUM($E$3:E30)=0,0,0)))</f>
        <v>0</v>
      </c>
      <c r="F30" s="23">
        <f ca="1">IF(B30&lt;Assumptions!$B$7+1,0,IF(E29&lt;0,Assumptions!$B$3-SUM($E$3:E30),0))</f>
        <v>0</v>
      </c>
      <c r="H30" s="22">
        <f t="shared" ca="1" si="2"/>
        <v>-1331090.753187567</v>
      </c>
      <c r="I30" s="23">
        <f t="shared" ca="1" si="3"/>
        <v>-51457127.879852675</v>
      </c>
      <c r="K30" s="22" t="str">
        <f>IF(B30&gt;Assumptions!$B$6*12+Assumptions!$B$7,"",C30)</f>
        <v/>
      </c>
      <c r="L30" s="23" t="str">
        <f>IF(B30&gt;Assumptions!$B$6*12+Assumptions!$B$7,"",K30/(1+Assumptions!$B$11)^B30)</f>
        <v/>
      </c>
      <c r="M30" s="2"/>
    </row>
    <row r="31" spans="1:14" x14ac:dyDescent="0.2">
      <c r="A31" s="27">
        <v>47052</v>
      </c>
      <c r="B31" s="20">
        <f t="shared" si="0"/>
        <v>30</v>
      </c>
      <c r="C31" s="13">
        <f t="shared" ca="1" si="4"/>
        <v>-51493439.070353016</v>
      </c>
      <c r="D31" s="14">
        <f ca="1">C30*Assumptions!$B$10^30.5-C30</f>
        <v>-1367401.9436879084</v>
      </c>
      <c r="E31" s="14">
        <f ca="1">IF(CashFlow!B31&lt;Assumptions!$B$7+1,0,IF(AND(B31&gt;=Assumptions!$B$7,SUM($E$2:E30)&lt;&gt;Assumptions!$B$3),Assumptions!$B$3/(Assumptions!$B$6*12),IF(Assumptions!$B$3=SUM($E$3:E31)=0,0,0)))</f>
        <v>0</v>
      </c>
      <c r="F31" s="23">
        <f ca="1">IF(B31&lt;Assumptions!$B$7+1,0,IF(E30&lt;0,Assumptions!$B$3-SUM($E$3:E31),0))</f>
        <v>0</v>
      </c>
      <c r="H31" s="22">
        <f t="shared" ca="1" si="2"/>
        <v>-1367401.9436879084</v>
      </c>
      <c r="I31" s="23">
        <f t="shared" ca="1" si="3"/>
        <v>-52860841.014040925</v>
      </c>
      <c r="K31" s="22" t="str">
        <f>IF(B31&gt;Assumptions!$B$6*12+Assumptions!$B$7,"",C31)</f>
        <v/>
      </c>
      <c r="L31" s="23" t="str">
        <f>IF(B31&gt;Assumptions!$B$6*12+Assumptions!$B$7,"",K31/(1+Assumptions!$B$11)^B31)</f>
        <v/>
      </c>
      <c r="M31" s="2"/>
    </row>
    <row r="32" spans="1:14" x14ac:dyDescent="0.2">
      <c r="A32" s="27">
        <v>47083</v>
      </c>
      <c r="B32" s="20">
        <f t="shared" si="0"/>
        <v>31</v>
      </c>
      <c r="C32" s="13">
        <f t="shared" ca="1" si="4"/>
        <v>-52898142.747486897</v>
      </c>
      <c r="D32" s="14">
        <f ca="1">C31*Assumptions!$B$10^30.5-C31</f>
        <v>-1404703.6771338806</v>
      </c>
      <c r="E32" s="14">
        <f ca="1">IF(CashFlow!B32&lt;Assumptions!$B$7+1,0,IF(AND(B32&gt;=Assumptions!$B$7,SUM($E$2:E31)&lt;&gt;Assumptions!$B$3),Assumptions!$B$3/(Assumptions!$B$6*12),IF(Assumptions!$B$3=SUM($E$3:E32)=0,0,0)))</f>
        <v>0</v>
      </c>
      <c r="F32" s="23">
        <f ca="1">IF(B32&lt;Assumptions!$B$7+1,0,IF(E31&lt;0,Assumptions!$B$3-SUM($E$3:E32),0))</f>
        <v>0</v>
      </c>
      <c r="H32" s="22">
        <f t="shared" ca="1" si="2"/>
        <v>-1404703.6771338806</v>
      </c>
      <c r="I32" s="23">
        <f t="shared" ca="1" si="3"/>
        <v>-54302846.424620777</v>
      </c>
      <c r="K32" s="22" t="str">
        <f>IF(B32&gt;Assumptions!$B$6*12+Assumptions!$B$7,"",C32)</f>
        <v/>
      </c>
      <c r="L32" s="23" t="str">
        <f>IF(B32&gt;Assumptions!$B$6*12+Assumptions!$B$7,"",K32/(1+Assumptions!$B$11)^B32)</f>
        <v/>
      </c>
      <c r="M32" s="2"/>
    </row>
    <row r="33" spans="1:13" x14ac:dyDescent="0.2">
      <c r="A33" s="27">
        <v>47113</v>
      </c>
      <c r="B33" s="20">
        <f t="shared" si="0"/>
        <v>32</v>
      </c>
      <c r="C33" s="13">
        <f t="shared" ca="1" si="4"/>
        <v>-54341165.722305626</v>
      </c>
      <c r="D33" s="14">
        <f ca="1">C32*Assumptions!$B$10^30.5-C32</f>
        <v>-1443022.9748187289</v>
      </c>
      <c r="E33" s="14">
        <f ca="1">IF(CashFlow!B33&lt;Assumptions!$B$7+1,0,IF(AND(B33&gt;=Assumptions!$B$7,SUM($E$2:E32)&lt;&gt;Assumptions!$B$3),Assumptions!$B$3/(Assumptions!$B$6*12),IF(Assumptions!$B$3=SUM($E$3:E33)=0,0,0)))</f>
        <v>0</v>
      </c>
      <c r="F33" s="23">
        <f ca="1">IF(B33&lt;Assumptions!$B$7+1,0,IF(E32&lt;0,Assumptions!$B$3-SUM($E$3:E33),0))</f>
        <v>0</v>
      </c>
      <c r="H33" s="22">
        <f t="shared" ca="1" si="2"/>
        <v>-1443022.9748187289</v>
      </c>
      <c r="I33" s="23">
        <f t="shared" ca="1" si="3"/>
        <v>-55784188.697124355</v>
      </c>
      <c r="K33" s="22" t="str">
        <f>IF(B33&gt;Assumptions!$B$6*12+Assumptions!$B$7,"",C33)</f>
        <v/>
      </c>
      <c r="L33" s="23" t="str">
        <f>IF(B33&gt;Assumptions!$B$6*12+Assumptions!$B$7,"",K33/(1+Assumptions!$B$11)^B33)</f>
        <v/>
      </c>
      <c r="M33" s="2"/>
    </row>
    <row r="34" spans="1:13" x14ac:dyDescent="0.2">
      <c r="A34" s="27">
        <v>47144</v>
      </c>
      <c r="B34" s="20">
        <f t="shared" si="0"/>
        <v>33</v>
      </c>
      <c r="C34" s="13">
        <f t="shared" ca="1" si="4"/>
        <v>-55823553.317462623</v>
      </c>
      <c r="D34" s="14">
        <f ca="1">C33*Assumptions!$B$10^30.5-C33</f>
        <v>-1482387.5951569974</v>
      </c>
      <c r="E34" s="14">
        <f ca="1">IF(CashFlow!B34&lt;Assumptions!$B$7+1,0,IF(AND(B34&gt;=Assumptions!$B$7,SUM($E$2:E33)&lt;&gt;Assumptions!$B$3),Assumptions!$B$3/(Assumptions!$B$6*12),IF(Assumptions!$B$3=SUM($E$3:E34)=0,0,0)))</f>
        <v>0</v>
      </c>
      <c r="F34" s="23">
        <f ca="1">IF(B34&lt;Assumptions!$B$7+1,0,IF(E33&lt;0,Assumptions!$B$3-SUM($E$3:E34),0))</f>
        <v>0</v>
      </c>
      <c r="H34" s="22">
        <f t="shared" ca="1" si="2"/>
        <v>-1482387.5951569974</v>
      </c>
      <c r="I34" s="23">
        <f t="shared" ca="1" si="3"/>
        <v>-57305940.912619621</v>
      </c>
      <c r="K34" s="22" t="str">
        <f>IF(B34&gt;Assumptions!$B$6*12+Assumptions!$B$7,"",C34)</f>
        <v/>
      </c>
      <c r="L34" s="23" t="str">
        <f>IF(B34&gt;Assumptions!$B$6*12+Assumptions!$B$7,"",K34/(1+Assumptions!$B$11)^B34)</f>
        <v/>
      </c>
      <c r="M34" s="2"/>
    </row>
    <row r="35" spans="1:13" x14ac:dyDescent="0.2">
      <c r="A35" s="27">
        <v>47175</v>
      </c>
      <c r="B35" s="20">
        <f t="shared" si="0"/>
        <v>34</v>
      </c>
      <c r="C35" s="13">
        <f t="shared" ca="1" si="4"/>
        <v>-57346379.371255293</v>
      </c>
      <c r="D35" s="14">
        <f ca="1">C34*Assumptions!$B$10^30.5-C34</f>
        <v>-1522826.0537926704</v>
      </c>
      <c r="E35" s="14">
        <f ca="1">IF(CashFlow!B35&lt;Assumptions!$B$7+1,0,IF(AND(B35&gt;=Assumptions!$B$7,SUM($E$2:E34)&lt;&gt;Assumptions!$B$3),Assumptions!$B$3/(Assumptions!$B$6*12),IF(Assumptions!$B$3=SUM($E$3:E35)=0,0,0)))</f>
        <v>0</v>
      </c>
      <c r="F35" s="23">
        <f ca="1">IF(B35&lt;Assumptions!$B$7+1,0,IF(E34&lt;0,Assumptions!$B$3-SUM($E$3:E35),0))</f>
        <v>0</v>
      </c>
      <c r="H35" s="22">
        <f t="shared" ca="1" si="2"/>
        <v>-1522826.0537926704</v>
      </c>
      <c r="I35" s="23">
        <f t="shared" ca="1" si="3"/>
        <v>-58869205.425047964</v>
      </c>
      <c r="K35" s="22" t="str">
        <f>IF(B35&gt;Assumptions!$B$6*12+Assumptions!$B$7,"",C35)</f>
        <v/>
      </c>
      <c r="L35" s="23" t="str">
        <f>IF(B35&gt;Assumptions!$B$6*12+Assumptions!$B$7,"",K35/(1+Assumptions!$B$11)^B35)</f>
        <v/>
      </c>
      <c r="M35" s="2"/>
    </row>
    <row r="36" spans="1:13" x14ac:dyDescent="0.2">
      <c r="A36" s="27">
        <v>47203</v>
      </c>
      <c r="B36" s="20">
        <f t="shared" si="0"/>
        <v>35</v>
      </c>
      <c r="C36" s="13">
        <f t="shared" ca="1" si="4"/>
        <v>-58910747.015511073</v>
      </c>
      <c r="D36" s="14">
        <f ca="1">C35*Assumptions!$B$10^30.5-C35</f>
        <v>-1564367.6442557797</v>
      </c>
      <c r="E36" s="14">
        <f ca="1">IF(CashFlow!B36&lt;Assumptions!$B$7+1,0,IF(AND(B36&gt;=Assumptions!$B$7,SUM($E$2:E35)&lt;&gt;Assumptions!$B$3),Assumptions!$B$3/(Assumptions!$B$6*12),IF(Assumptions!$B$3=SUM($E$3:E36)=0,0,0)))</f>
        <v>0</v>
      </c>
      <c r="F36" s="23">
        <f ca="1">IF(B36&lt;Assumptions!$B$7+1,0,IF(E35&lt;0,Assumptions!$B$3-SUM($E$3:E36),0))</f>
        <v>0</v>
      </c>
      <c r="H36" s="22">
        <f t="shared" ca="1" si="2"/>
        <v>-1564367.6442557797</v>
      </c>
      <c r="I36" s="23">
        <f t="shared" ca="1" si="3"/>
        <v>-60475114.659766853</v>
      </c>
      <c r="K36" s="22" t="str">
        <f>IF(B36&gt;Assumptions!$B$6*12+Assumptions!$B$7,"",C36)</f>
        <v/>
      </c>
      <c r="L36" s="23" t="str">
        <f>IF(B36&gt;Assumptions!$B$6*12+Assumptions!$B$7,"",K36/(1+Assumptions!$B$11)^B36)</f>
        <v/>
      </c>
      <c r="M36" s="2"/>
    </row>
    <row r="37" spans="1:13" x14ac:dyDescent="0.2">
      <c r="A37" s="27">
        <v>47234</v>
      </c>
      <c r="B37" s="20">
        <f t="shared" si="0"/>
        <v>36</v>
      </c>
      <c r="C37" s="13">
        <f t="shared" ca="1" si="4"/>
        <v>-60517789.474693723</v>
      </c>
      <c r="D37" s="14">
        <f ca="1">C36*Assumptions!$B$10^30.5-C36</f>
        <v>-1607042.4591826499</v>
      </c>
      <c r="E37" s="14">
        <f ca="1">IF(CashFlow!B37&lt;Assumptions!$B$7+1,0,IF(AND(B37&gt;=Assumptions!$B$7,SUM($E$2:E36)&lt;&gt;Assumptions!$B$3),Assumptions!$B$3/(Assumptions!$B$6*12),IF(Assumptions!$B$3=SUM($E$3:E37)=0,0,0)))</f>
        <v>0</v>
      </c>
      <c r="F37" s="23">
        <f ca="1">IF(B37&lt;Assumptions!$B$7+1,0,IF(E36&lt;0,Assumptions!$B$3-SUM($E$3:E37),0))</f>
        <v>0</v>
      </c>
      <c r="H37" s="22">
        <f t="shared" ca="1" si="2"/>
        <v>-1607042.4591826499</v>
      </c>
      <c r="I37" s="23">
        <f t="shared" ca="1" si="3"/>
        <v>-62124831.933876373</v>
      </c>
      <c r="K37" s="22" t="str">
        <f>IF(B37&gt;Assumptions!$B$6*12+Assumptions!$B$7,"",C37)</f>
        <v/>
      </c>
      <c r="L37" s="23" t="str">
        <f>IF(B37&gt;Assumptions!$B$6*12+Assumptions!$B$7,"",K37/(1+Assumptions!$B$11)^B37)</f>
        <v/>
      </c>
      <c r="M37" s="2"/>
    </row>
    <row r="38" spans="1:13" x14ac:dyDescent="0.2">
      <c r="A38" s="27">
        <v>47264</v>
      </c>
      <c r="B38" s="20">
        <f t="shared" si="0"/>
        <v>37</v>
      </c>
      <c r="C38" s="13">
        <f t="shared" ca="1" si="4"/>
        <v>-62168670.886808604</v>
      </c>
      <c r="D38" s="14">
        <f ca="1">C37*Assumptions!$B$10^30.5-C37</f>
        <v>-1650881.412114881</v>
      </c>
      <c r="E38" s="14">
        <f ca="1">IF(CashFlow!B38&lt;Assumptions!$B$7+1,0,IF(AND(B38&gt;=Assumptions!$B$7,SUM($E$2:E37)&lt;&gt;Assumptions!$B$3),Assumptions!$B$3/(Assumptions!$B$6*12),IF(Assumptions!$B$3=SUM($E$3:E38)=0,0,0)))</f>
        <v>0</v>
      </c>
      <c r="F38" s="23">
        <f ca="1">IF(B38&lt;Assumptions!$B$7+1,0,IF(E37&lt;0,Assumptions!$B$3-SUM($E$3:E38),0))</f>
        <v>0</v>
      </c>
      <c r="H38" s="22">
        <f t="shared" ca="1" si="2"/>
        <v>-1650881.412114881</v>
      </c>
      <c r="I38" s="23">
        <f t="shared" ca="1" si="3"/>
        <v>-63819552.298923485</v>
      </c>
      <c r="K38" s="22" t="str">
        <f>IF(B38&gt;Assumptions!$B$6*12+Assumptions!$B$7,"",C38)</f>
        <v/>
      </c>
      <c r="L38" s="23" t="str">
        <f>IF(B38&gt;Assumptions!$B$6*12+Assumptions!$B$7,"",K38/(1+Assumptions!$B$11)^B38)</f>
        <v/>
      </c>
      <c r="M38" s="2"/>
    </row>
    <row r="39" spans="1:13" x14ac:dyDescent="0.2">
      <c r="A39" s="27">
        <v>47295</v>
      </c>
      <c r="B39" s="20">
        <f t="shared" si="0"/>
        <v>38</v>
      </c>
      <c r="C39" s="13">
        <f t="shared" ca="1" si="4"/>
        <v>-63864587.146701694</v>
      </c>
      <c r="D39" s="14">
        <f ca="1">C38*Assumptions!$B$10^30.5-C38</f>
        <v>-1695916.2598930895</v>
      </c>
      <c r="E39" s="14">
        <f ca="1">IF(CashFlow!B39&lt;Assumptions!$B$7+1,0,IF(AND(B39&gt;=Assumptions!$B$7,SUM($E$2:E38)&lt;&gt;Assumptions!$B$3),Assumptions!$B$3/(Assumptions!$B$6*12),IF(Assumptions!$B$3=SUM($E$3:E39)=0,0,0)))</f>
        <v>0</v>
      </c>
      <c r="F39" s="23">
        <f ca="1">IF(B39&lt;Assumptions!$B$7+1,0,IF(E38&lt;0,Assumptions!$B$3-SUM($E$3:E39),0))</f>
        <v>0</v>
      </c>
      <c r="H39" s="22">
        <f t="shared" ca="1" si="2"/>
        <v>-1695916.2598930895</v>
      </c>
      <c r="I39" s="23">
        <f t="shared" ca="1" si="3"/>
        <v>-65560503.406594783</v>
      </c>
      <c r="K39" s="22" t="str">
        <f>IF(B39&gt;Assumptions!$B$6*12+Assumptions!$B$7,"",C39)</f>
        <v/>
      </c>
      <c r="L39" s="23" t="str">
        <f>IF(B39&gt;Assumptions!$B$6*12+Assumptions!$B$7,"",K39/(1+Assumptions!$B$11)^B39)</f>
        <v/>
      </c>
      <c r="M39" s="2"/>
    </row>
    <row r="40" spans="1:13" x14ac:dyDescent="0.2">
      <c r="A40" s="27">
        <v>47325</v>
      </c>
      <c r="B40" s="20">
        <f t="shared" si="0"/>
        <v>39</v>
      </c>
      <c r="C40" s="13">
        <f t="shared" ca="1" si="4"/>
        <v>-65606766.772363156</v>
      </c>
      <c r="D40" s="14">
        <f ca="1">C39*Assumptions!$B$10^30.5-C39</f>
        <v>-1742179.6256614625</v>
      </c>
      <c r="E40" s="14">
        <f ca="1">IF(CashFlow!B40&lt;Assumptions!$B$7+1,0,IF(AND(B40&gt;=Assumptions!$B$7,SUM($E$2:E39)&lt;&gt;Assumptions!$B$3),Assumptions!$B$3/(Assumptions!$B$6*12),IF(Assumptions!$B$3=SUM($E$3:E40)=0,0,0)))</f>
        <v>0</v>
      </c>
      <c r="F40" s="23">
        <f ca="1">IF(B40&lt;Assumptions!$B$7+1,0,IF(E39&lt;0,Assumptions!$B$3-SUM($E$3:E40),0))</f>
        <v>0</v>
      </c>
      <c r="H40" s="22">
        <f t="shared" ca="1" si="2"/>
        <v>-1742179.6256614625</v>
      </c>
      <c r="I40" s="23">
        <f t="shared" ca="1" si="3"/>
        <v>-67348946.398024619</v>
      </c>
      <c r="K40" s="22" t="str">
        <f>IF(B40&gt;Assumptions!$B$6*12+Assumptions!$B$7,"",C40)</f>
        <v/>
      </c>
      <c r="L40" s="23" t="str">
        <f>IF(B40&gt;Assumptions!$B$6*12+Assumptions!$B$7,"",K40/(1+Assumptions!$B$11)^B40)</f>
        <v/>
      </c>
      <c r="M40" s="2"/>
    </row>
    <row r="41" spans="1:13" x14ac:dyDescent="0.2">
      <c r="A41" s="27">
        <v>47356</v>
      </c>
      <c r="B41" s="20">
        <f t="shared" si="0"/>
        <v>40</v>
      </c>
      <c r="C41" s="13">
        <f t="shared" ca="1" si="4"/>
        <v>-67396471.79486306</v>
      </c>
      <c r="D41" s="14">
        <f ca="1">C40*Assumptions!$B$10^30.5-C40</f>
        <v>-1789705.022499904</v>
      </c>
      <c r="E41" s="14">
        <f ca="1">IF(CashFlow!B41&lt;Assumptions!$B$7+1,0,IF(AND(B41&gt;=Assumptions!$B$7,SUM($E$2:E40)&lt;&gt;Assumptions!$B$3),Assumptions!$B$3/(Assumptions!$B$6*12),IF(Assumptions!$B$3=SUM($E$3:E41)=0,0,0)))</f>
        <v>0</v>
      </c>
      <c r="F41" s="23">
        <f ca="1">IF(B41&lt;Assumptions!$B$7+1,0,IF(E40&lt;0,Assumptions!$B$3-SUM($E$3:E41),0))</f>
        <v>0</v>
      </c>
      <c r="H41" s="22">
        <f t="shared" ca="1" si="2"/>
        <v>-1789705.022499904</v>
      </c>
      <c r="I41" s="23">
        <f t="shared" ca="1" si="3"/>
        <v>-69186176.817362964</v>
      </c>
      <c r="K41" s="22" t="str">
        <f>IF(B41&gt;Assumptions!$B$6*12+Assumptions!$B$7,"",C41)</f>
        <v/>
      </c>
      <c r="L41" s="23" t="str">
        <f>IF(B41&gt;Assumptions!$B$6*12+Assumptions!$B$7,"",K41/(1+Assumptions!$B$11)^B41)</f>
        <v/>
      </c>
      <c r="M41" s="2"/>
    </row>
    <row r="42" spans="1:13" x14ac:dyDescent="0.2">
      <c r="A42" s="27">
        <v>47387</v>
      </c>
      <c r="B42" s="20">
        <f t="shared" si="0"/>
        <v>41</v>
      </c>
      <c r="C42" s="13">
        <f t="shared" ca="1" si="4"/>
        <v>-69234998.672563881</v>
      </c>
      <c r="D42" s="14">
        <f ca="1">C41*Assumptions!$B$10^30.5-C41</f>
        <v>-1838526.8777008206</v>
      </c>
      <c r="E42" s="14">
        <f ca="1">IF(CashFlow!B42&lt;Assumptions!$B$7+1,0,IF(AND(B42&gt;=Assumptions!$B$7,SUM($E$2:E41)&lt;&gt;Assumptions!$B$3),Assumptions!$B$3/(Assumptions!$B$6*12),IF(Assumptions!$B$3=SUM($E$3:E42)=0,0,0)))</f>
        <v>0</v>
      </c>
      <c r="F42" s="23">
        <f ca="1">IF(B42&lt;Assumptions!$B$7+1,0,IF(E41&lt;0,Assumptions!$B$3-SUM($E$3:E42),0))</f>
        <v>0</v>
      </c>
      <c r="H42" s="22">
        <f t="shared" ca="1" si="2"/>
        <v>-1838526.8777008206</v>
      </c>
      <c r="I42" s="23">
        <f t="shared" ca="1" si="3"/>
        <v>-71073525.550264701</v>
      </c>
      <c r="K42" s="22" t="str">
        <f>IF(B42&gt;Assumptions!$B$6*12+Assumptions!$B$7,"",C42)</f>
        <v/>
      </c>
      <c r="L42" s="23" t="str">
        <f>IF(B42&gt;Assumptions!$B$6*12+Assumptions!$B$7,"",K42/(1+Assumptions!$B$11)^B42)</f>
        <v/>
      </c>
      <c r="M42" s="2"/>
    </row>
    <row r="43" spans="1:13" x14ac:dyDescent="0.2">
      <c r="A43" s="27">
        <v>47417</v>
      </c>
      <c r="B43" s="20">
        <f t="shared" si="0"/>
        <v>42</v>
      </c>
      <c r="C43" s="13">
        <f t="shared" ca="1" si="4"/>
        <v>-71123679.230272114</v>
      </c>
      <c r="D43" s="14">
        <f ca="1">C42*Assumptions!$B$10^30.5-C42</f>
        <v>-1888680.5577082336</v>
      </c>
      <c r="E43" s="14">
        <f ca="1">IF(CashFlow!B43&lt;Assumptions!$B$7+1,0,IF(AND(B43&gt;=Assumptions!$B$7,SUM($E$2:E42)&lt;&gt;Assumptions!$B$3),Assumptions!$B$3/(Assumptions!$B$6*12),IF(Assumptions!$B$3=SUM($E$3:E43)=0,0,0)))</f>
        <v>0</v>
      </c>
      <c r="F43" s="23">
        <f ca="1">IF(B43&lt;Assumptions!$B$7+1,0,IF(E42&lt;0,Assumptions!$B$3-SUM($E$3:E43),0))</f>
        <v>0</v>
      </c>
      <c r="H43" s="22">
        <f t="shared" ca="1" si="2"/>
        <v>-1888680.5577082336</v>
      </c>
      <c r="I43" s="23">
        <f t="shared" ca="1" si="3"/>
        <v>-73012359.787980348</v>
      </c>
      <c r="K43" s="22" t="str">
        <f>IF(B43&gt;Assumptions!$B$6*12+Assumptions!$B$7,"",C43)</f>
        <v/>
      </c>
      <c r="L43" s="23" t="str">
        <f>IF(B43&gt;Assumptions!$B$6*12+Assumptions!$B$7,"",K43/(1+Assumptions!$B$11)^B43)</f>
        <v/>
      </c>
      <c r="M43" s="2"/>
    </row>
    <row r="44" spans="1:13" x14ac:dyDescent="0.2">
      <c r="A44" s="27">
        <v>47448</v>
      </c>
      <c r="B44" s="20">
        <f t="shared" si="0"/>
        <v>43</v>
      </c>
      <c r="C44" s="13">
        <f t="shared" ca="1" si="4"/>
        <v>-73063881.624009192</v>
      </c>
      <c r="D44" s="14">
        <f ca="1">C43*Assumptions!$B$10^30.5-C43</f>
        <v>-1940202.3937370777</v>
      </c>
      <c r="E44" s="14">
        <f ca="1">IF(CashFlow!B44&lt;Assumptions!$B$7+1,0,IF(AND(B44&gt;=Assumptions!$B$7,SUM($E$2:E43)&lt;&gt;Assumptions!$B$3),Assumptions!$B$3/(Assumptions!$B$6*12),IF(Assumptions!$B$3=SUM($E$3:E44)=0,0,0)))</f>
        <v>0</v>
      </c>
      <c r="F44" s="23">
        <f ca="1">IF(B44&lt;Assumptions!$B$7+1,0,IF(E43&lt;0,Assumptions!$B$3-SUM($E$3:E44),0))</f>
        <v>0</v>
      </c>
      <c r="H44" s="22">
        <f t="shared" ca="1" si="2"/>
        <v>-1940202.3937370777</v>
      </c>
      <c r="I44" s="23">
        <f t="shared" ca="1" si="3"/>
        <v>-75004084.01774627</v>
      </c>
      <c r="K44" s="22" t="str">
        <f>IF(B44&gt;Assumptions!$B$6*12+Assumptions!$B$7,"",C44)</f>
        <v/>
      </c>
      <c r="L44" s="23" t="str">
        <f>IF(B44&gt;Assumptions!$B$6*12+Assumptions!$B$7,"",K44/(1+Assumptions!$B$11)^B44)</f>
        <v/>
      </c>
      <c r="M44" s="2"/>
    </row>
    <row r="45" spans="1:13" x14ac:dyDescent="0.2">
      <c r="A45" s="27">
        <v>47478</v>
      </c>
      <c r="B45" s="20">
        <f t="shared" si="0"/>
        <v>44</v>
      </c>
      <c r="C45" s="13">
        <f t="shared" ca="1" si="4"/>
        <v>-75057011.332100689</v>
      </c>
      <c r="D45" s="14">
        <f ca="1">C44*Assumptions!$B$10^30.5-C44</f>
        <v>-1993129.7080914974</v>
      </c>
      <c r="E45" s="14">
        <f ca="1">IF(CashFlow!B45&lt;Assumptions!$B$7+1,0,IF(AND(B45&gt;=Assumptions!$B$7,SUM($E$2:E44)&lt;&gt;Assumptions!$B$3),Assumptions!$B$3/(Assumptions!$B$6*12),IF(Assumptions!$B$3=SUM($E$3:E45)=0,0,0)))</f>
        <v>0</v>
      </c>
      <c r="F45" s="23">
        <f ca="1">IF(B45&lt;Assumptions!$B$7+1,0,IF(E44&lt;0,Assumptions!$B$3-SUM($E$3:E45),0))</f>
        <v>0</v>
      </c>
      <c r="H45" s="22">
        <f t="shared" ca="1" si="2"/>
        <v>-1993129.7080914974</v>
      </c>
      <c r="I45" s="23">
        <f t="shared" ca="1" si="3"/>
        <v>-77050141.040192187</v>
      </c>
      <c r="K45" s="22" t="str">
        <f>IF(B45&gt;Assumptions!$B$6*12+Assumptions!$B$7,"",C45)</f>
        <v/>
      </c>
      <c r="L45" s="23" t="str">
        <f>IF(B45&gt;Assumptions!$B$6*12+Assumptions!$B$7,"",K45/(1+Assumptions!$B$11)^B45)</f>
        <v/>
      </c>
      <c r="M45" s="2"/>
    </row>
    <row r="46" spans="1:13" x14ac:dyDescent="0.2">
      <c r="A46" s="27">
        <v>47509</v>
      </c>
      <c r="B46" s="20">
        <f t="shared" si="0"/>
        <v>45</v>
      </c>
      <c r="C46" s="13">
        <f t="shared" ca="1" si="4"/>
        <v>-77104512.173301697</v>
      </c>
      <c r="D46" s="14">
        <f ca="1">C45*Assumptions!$B$10^30.5-C45</f>
        <v>-2047500.8412010074</v>
      </c>
      <c r="E46" s="14">
        <f ca="1">IF(CashFlow!B46&lt;Assumptions!$B$7+1,0,IF(AND(B46&gt;=Assumptions!$B$7,SUM($E$2:E45)&lt;&gt;Assumptions!$B$3),Assumptions!$B$3/(Assumptions!$B$6*12),IF(Assumptions!$B$3=SUM($E$3:E46)=0,0,0)))</f>
        <v>0</v>
      </c>
      <c r="F46" s="23">
        <f ca="1">IF(B46&lt;Assumptions!$B$7+1,0,IF(E45&lt;0,Assumptions!$B$3-SUM($E$3:E46),0))</f>
        <v>0</v>
      </c>
      <c r="H46" s="22">
        <f t="shared" ca="1" si="2"/>
        <v>-2047500.8412010074</v>
      </c>
      <c r="I46" s="23">
        <f t="shared" ca="1" si="3"/>
        <v>-79152013.014502704</v>
      </c>
      <c r="K46" s="22" t="str">
        <f>IF(B46&gt;Assumptions!$B$6*12+Assumptions!$B$7,"",C46)</f>
        <v/>
      </c>
      <c r="L46" s="23" t="str">
        <f>IF(B46&gt;Assumptions!$B$6*12+Assumptions!$B$7,"",K46/(1+Assumptions!$B$11)^B46)</f>
        <v/>
      </c>
      <c r="M46" s="2"/>
    </row>
    <row r="47" spans="1:13" x14ac:dyDescent="0.2">
      <c r="A47" s="27">
        <v>47540</v>
      </c>
      <c r="B47" s="20">
        <f t="shared" ref="B47:B60" si="5">B46+1</f>
        <v>46</v>
      </c>
      <c r="C47" s="13">
        <f t="shared" ca="1" si="4"/>
        <v>-79207867.352695972</v>
      </c>
      <c r="D47" s="14">
        <f ca="1">C46*Assumptions!$B$10^30.5-C46</f>
        <v>-2103355.179394275</v>
      </c>
      <c r="E47" s="14">
        <f ca="1">IF(CashFlow!B47&lt;Assumptions!$B$7+1,0,IF(AND(B47&gt;=Assumptions!$B$7,SUM($E$2:E46)&lt;&gt;Assumptions!$B$3),Assumptions!$B$3/(Assumptions!$B$6*12),IF(Assumptions!$B$3=SUM($E$3:E47)=0,0,0)))</f>
        <v>0</v>
      </c>
      <c r="F47" s="23">
        <f ca="1">IF(B47&lt;Assumptions!$B$7+1,0,IF(E46&lt;0,Assumptions!$B$3-SUM($E$3:E47),0))</f>
        <v>0</v>
      </c>
      <c r="H47" s="22">
        <f t="shared" ca="1" si="2"/>
        <v>-2103355.179394275</v>
      </c>
      <c r="I47" s="23">
        <f t="shared" ca="1" si="3"/>
        <v>-81311222.532090247</v>
      </c>
      <c r="K47" s="22" t="str">
        <f>IF(B47&gt;Assumptions!$B$6*12+Assumptions!$B$7,"",C47)</f>
        <v/>
      </c>
      <c r="L47" s="23" t="str">
        <f>IF(B47&gt;Assumptions!$B$6*12+Assumptions!$B$7,"",K47/(1+Assumptions!$B$11)^B47)</f>
        <v/>
      </c>
      <c r="M47" s="2"/>
    </row>
    <row r="48" spans="1:13" x14ac:dyDescent="0.2">
      <c r="A48" s="27">
        <v>47568</v>
      </c>
      <c r="B48" s="20">
        <f t="shared" si="5"/>
        <v>47</v>
      </c>
      <c r="C48" s="13">
        <f t="shared" ca="1" si="4"/>
        <v>-81368600.53612639</v>
      </c>
      <c r="D48" s="14">
        <f ca="1">C47*Assumptions!$B$10^30.5-C47</f>
        <v>-2160733.1834304184</v>
      </c>
      <c r="E48" s="14">
        <f ca="1">IF(CashFlow!B48&lt;Assumptions!$B$7+1,0,IF(AND(B48&gt;=Assumptions!$B$7,SUM($E$2:E47)&lt;&gt;Assumptions!$B$3),Assumptions!$B$3/(Assumptions!$B$6*12),IF(Assumptions!$B$3=SUM($E$3:E48)=0,0,0)))</f>
        <v>0</v>
      </c>
      <c r="F48" s="23">
        <f ca="1">IF(B48&lt;Assumptions!$B$7+1,0,IF(E47&lt;0,Assumptions!$B$3-SUM($E$3:E48),0))</f>
        <v>0</v>
      </c>
      <c r="H48" s="22">
        <f t="shared" ca="1" si="2"/>
        <v>-2160733.1834304184</v>
      </c>
      <c r="I48" s="23">
        <f t="shared" ca="1" si="3"/>
        <v>-83529333.719556808</v>
      </c>
      <c r="K48" s="22" t="str">
        <f>IF(B48&gt;Assumptions!$B$6*12+Assumptions!$B$7,"",C48)</f>
        <v/>
      </c>
      <c r="L48" s="23" t="str">
        <f>IF(B48&gt;Assumptions!$B$6*12+Assumptions!$B$7,"",K48/(1+Assumptions!$B$11)^B48)</f>
        <v/>
      </c>
      <c r="M48" s="2"/>
    </row>
    <row r="49" spans="1:13" x14ac:dyDescent="0.2">
      <c r="A49" s="27">
        <v>47599</v>
      </c>
      <c r="B49" s="20">
        <f t="shared" si="5"/>
        <v>48</v>
      </c>
      <c r="C49" s="13">
        <f t="shared" ca="1" si="4"/>
        <v>-83588276.953935146</v>
      </c>
      <c r="D49" s="14">
        <f ca="1">C48*Assumptions!$B$10^30.5-C48</f>
        <v>-2219676.4178087562</v>
      </c>
      <c r="E49" s="14">
        <f ca="1">IF(CashFlow!B49&lt;Assumptions!$B$7+1,0,IF(AND(B49&gt;=Assumptions!$B$7,SUM($E$2:E48)&lt;&gt;Assumptions!$B$3),Assumptions!$B$3/(Assumptions!$B$6*12),IF(Assumptions!$B$3=SUM($E$3:E49)=0,0,0)))</f>
        <v>0</v>
      </c>
      <c r="F49" s="23">
        <f ca="1">IF(B49&lt;Assumptions!$B$7+1,0,IF(E48&lt;0,Assumptions!$B$3-SUM($E$3:E49),0))</f>
        <v>0</v>
      </c>
      <c r="H49" s="22">
        <f t="shared" ca="1" si="2"/>
        <v>-2219676.4178087562</v>
      </c>
      <c r="I49" s="23">
        <f t="shared" ca="1" si="3"/>
        <v>-85807953.371743903</v>
      </c>
      <c r="K49" s="22" t="str">
        <f>IF(B49&gt;Assumptions!$B$6*12+Assumptions!$B$7,"",C49)</f>
        <v/>
      </c>
      <c r="L49" s="23" t="str">
        <f>IF(B49&gt;Assumptions!$B$6*12+Assumptions!$B$7,"",K49/(1+Assumptions!$B$11)^B49)</f>
        <v/>
      </c>
      <c r="M49" s="2"/>
    </row>
    <row r="50" spans="1:13" x14ac:dyDescent="0.2">
      <c r="A50" s="27">
        <v>47629</v>
      </c>
      <c r="B50" s="20">
        <f t="shared" si="5"/>
        <v>49</v>
      </c>
      <c r="C50" s="13">
        <f t="shared" ca="1" si="4"/>
        <v>-85868504.534813106</v>
      </c>
      <c r="D50" s="14">
        <f ca="1">C49*Assumptions!$B$10^30.5-C49</f>
        <v>-2280227.5808779597</v>
      </c>
      <c r="E50" s="14">
        <f ca="1">IF(CashFlow!B50&lt;Assumptions!$B$7+1,0,IF(AND(B50&gt;=Assumptions!$B$7,SUM($E$2:E49)&lt;&gt;Assumptions!$B$3),Assumptions!$B$3/(Assumptions!$B$6*12),IF(Assumptions!$B$3=SUM($E$3:E50)=0,0,0)))</f>
        <v>0</v>
      </c>
      <c r="F50" s="23">
        <f ca="1">IF(B50&lt;Assumptions!$B$7+1,0,IF(E49&lt;0,Assumptions!$B$3-SUM($E$3:E50),0))</f>
        <v>0</v>
      </c>
      <c r="H50" s="22">
        <f t="shared" ca="1" si="2"/>
        <v>-2280227.5808779597</v>
      </c>
      <c r="I50" s="23">
        <f t="shared" ca="1" si="3"/>
        <v>-88148732.115691066</v>
      </c>
      <c r="K50" s="22" t="str">
        <f>IF(B50&gt;Assumptions!$B$6*12+Assumptions!$B$7,"",C50)</f>
        <v/>
      </c>
      <c r="L50" s="23" t="str">
        <f>IF(B50&gt;Assumptions!$B$6*12+Assumptions!$B$7,"",K50/(1+Assumptions!$B$11)^B50)</f>
        <v/>
      </c>
      <c r="M50" s="2"/>
    </row>
    <row r="51" spans="1:13" x14ac:dyDescent="0.2">
      <c r="A51" s="27">
        <v>47660</v>
      </c>
      <c r="B51" s="20">
        <f t="shared" si="5"/>
        <v>50</v>
      </c>
      <c r="C51" s="13">
        <f t="shared" ca="1" si="4"/>
        <v>-88210935.070579842</v>
      </c>
      <c r="D51" s="14">
        <f ca="1">C50*Assumptions!$B$10^30.5-C50</f>
        <v>-2342430.5357667357</v>
      </c>
      <c r="E51" s="14">
        <f ca="1">IF(CashFlow!B51&lt;Assumptions!$B$7+1,0,IF(AND(B51&gt;=Assumptions!$B$7,SUM($E$2:E50)&lt;&gt;Assumptions!$B$3),Assumptions!$B$3/(Assumptions!$B$6*12),IF(Assumptions!$B$3=SUM($E$3:E51)=0,0,0)))</f>
        <v>0</v>
      </c>
      <c r="F51" s="23">
        <f ca="1">IF(B51&lt;Assumptions!$B$7+1,0,IF(E50&lt;0,Assumptions!$B$3-SUM($E$3:E51),0))</f>
        <v>0</v>
      </c>
      <c r="H51" s="22">
        <f t="shared" ca="1" si="2"/>
        <v>-2342430.5357667357</v>
      </c>
      <c r="I51" s="23">
        <f t="shared" ca="1" si="3"/>
        <v>-90553365.606346577</v>
      </c>
      <c r="K51" s="22" t="str">
        <f>IF(B51&gt;Assumptions!$B$6*12+Assumptions!$B$7,"",C51)</f>
        <v/>
      </c>
      <c r="L51" s="23" t="str">
        <f>IF(B51&gt;Assumptions!$B$6*12+Assumptions!$B$7,"",K51/(1+Assumptions!$B$11)^B51)</f>
        <v/>
      </c>
      <c r="M51" s="2"/>
    </row>
    <row r="52" spans="1:13" x14ac:dyDescent="0.2">
      <c r="A52" s="27">
        <v>47690</v>
      </c>
      <c r="B52" s="20">
        <f t="shared" si="5"/>
        <v>51</v>
      </c>
      <c r="C52" s="13">
        <f t="shared" ca="1" si="4"/>
        <v>-90617265.412737966</v>
      </c>
      <c r="D52" s="14">
        <f ca="1">C51*Assumptions!$B$10^30.5-C51</f>
        <v>-2406330.3421581239</v>
      </c>
      <c r="E52" s="14">
        <f ca="1">IF(CashFlow!B52&lt;Assumptions!$B$7+1,0,IF(AND(B52&gt;=Assumptions!$B$7,SUM($E$2:E51)&lt;&gt;Assumptions!$B$3),Assumptions!$B$3/(Assumptions!$B$6*12),IF(Assumptions!$B$3=SUM($E$3:E52)=0,0,0)))</f>
        <v>0</v>
      </c>
      <c r="F52" s="23">
        <f ca="1">IF(B52&lt;Assumptions!$B$7+1,0,IF(E51&lt;0,Assumptions!$B$3-SUM($E$3:E52),0))</f>
        <v>0</v>
      </c>
      <c r="H52" s="22">
        <f t="shared" ca="1" si="2"/>
        <v>-2406330.3421581239</v>
      </c>
      <c r="I52" s="23">
        <f t="shared" ca="1" si="3"/>
        <v>-93023595.754896089</v>
      </c>
      <c r="K52" s="22" t="str">
        <f>IF(B52&gt;Assumptions!$B$6*12+Assumptions!$B$7,"",C52)</f>
        <v/>
      </c>
      <c r="L52" s="23" t="str">
        <f>IF(B52&gt;Assumptions!$B$6*12+Assumptions!$B$7,"",K52/(1+Assumptions!$B$11)^B52)</f>
        <v/>
      </c>
      <c r="M52" s="2"/>
    </row>
    <row r="53" spans="1:13" x14ac:dyDescent="0.2">
      <c r="A53" s="27">
        <v>47721</v>
      </c>
      <c r="B53" s="20">
        <f t="shared" si="5"/>
        <v>52</v>
      </c>
      <c r="C53" s="13">
        <f t="shared" ca="1" si="4"/>
        <v>-93089238.70166859</v>
      </c>
      <c r="D53" s="14">
        <f ca="1">C52*Assumptions!$B$10^30.5-C52</f>
        <v>-2471973.2889306247</v>
      </c>
      <c r="E53" s="14">
        <f ca="1">IF(CashFlow!B53&lt;Assumptions!$B$7+1,0,IF(AND(B53&gt;=Assumptions!$B$7,SUM($E$2:E52)&lt;&gt;Assumptions!$B$3),Assumptions!$B$3/(Assumptions!$B$6*12),IF(Assumptions!$B$3=SUM($E$3:E53)=0,0,0)))</f>
        <v>0</v>
      </c>
      <c r="F53" s="23">
        <f ca="1">IF(B53&lt;Assumptions!$B$7+1,0,IF(E52&lt;0,Assumptions!$B$3-SUM($E$3:E53),0))</f>
        <v>0</v>
      </c>
      <c r="H53" s="22">
        <f t="shared" ca="1" si="2"/>
        <v>-2471973.2889306247</v>
      </c>
      <c r="I53" s="23">
        <f t="shared" ca="1" si="3"/>
        <v>-95561211.990599215</v>
      </c>
      <c r="K53" s="22" t="str">
        <f>IF(B53&gt;Assumptions!$B$6*12+Assumptions!$B$7,"",C53)</f>
        <v/>
      </c>
      <c r="L53" s="23" t="str">
        <f>IF(B53&gt;Assumptions!$B$6*12+Assumptions!$B$7,"",K53/(1+Assumptions!$B$11)^B53)</f>
        <v/>
      </c>
      <c r="M53" s="2"/>
    </row>
    <row r="54" spans="1:13" x14ac:dyDescent="0.2">
      <c r="A54" s="27">
        <v>47752</v>
      </c>
      <c r="B54" s="20">
        <f t="shared" si="5"/>
        <v>53</v>
      </c>
      <c r="C54" s="13">
        <f t="shared" ca="1" si="4"/>
        <v>-95628645.629358396</v>
      </c>
      <c r="D54" s="14">
        <f ca="1">C53*Assumptions!$B$10^30.5-C53</f>
        <v>-2539406.9276898056</v>
      </c>
      <c r="E54" s="14">
        <f ca="1">IF(CashFlow!B54&lt;Assumptions!$B$7+1,0,IF(AND(B54&gt;=Assumptions!$B$7,SUM($E$2:E53)&lt;&gt;Assumptions!$B$3),Assumptions!$B$3/(Assumptions!$B$6*12),IF(Assumptions!$B$3=SUM($E$3:E54)=0,0,0)))</f>
        <v>0</v>
      </c>
      <c r="F54" s="23">
        <f ca="1">IF(B54&lt;Assumptions!$B$7+1,0,IF(E53&lt;0,Assumptions!$B$3-SUM($E$3:E54),0))</f>
        <v>0</v>
      </c>
      <c r="H54" s="22">
        <f t="shared" ca="1" si="2"/>
        <v>-2539406.9276898056</v>
      </c>
      <c r="I54" s="23">
        <f t="shared" ca="1" si="3"/>
        <v>-98168052.557048202</v>
      </c>
      <c r="K54" s="22" t="str">
        <f>IF(B54&gt;Assumptions!$B$6*12+Assumptions!$B$7,"",C54)</f>
        <v/>
      </c>
      <c r="L54" s="23" t="str">
        <f>IF(B54&gt;Assumptions!$B$6*12+Assumptions!$B$7,"",K54/(1+Assumptions!$B$11)^B54)</f>
        <v/>
      </c>
      <c r="M54" s="2"/>
    </row>
    <row r="55" spans="1:13" x14ac:dyDescent="0.2">
      <c r="A55" s="27">
        <v>47782</v>
      </c>
      <c r="B55" s="20">
        <f t="shared" si="5"/>
        <v>54</v>
      </c>
      <c r="C55" s="13">
        <f t="shared" ca="1" si="4"/>
        <v>-98237325.736572906</v>
      </c>
      <c r="D55" s="14">
        <f ca="1">C54*Assumptions!$B$10^30.5-C54</f>
        <v>-2608680.1072145104</v>
      </c>
      <c r="E55" s="14">
        <f ca="1">IF(CashFlow!B55&lt;Assumptions!$B$7+1,0,IF(AND(B55&gt;=Assumptions!$B$7,SUM($E$2:E54)&lt;&gt;Assumptions!$B$3),Assumptions!$B$3/(Assumptions!$B$6*12),IF(Assumptions!$B$3=SUM($E$3:E55)=0,0,0)))</f>
        <v>0</v>
      </c>
      <c r="F55" s="23">
        <f ca="1">IF(B55&lt;Assumptions!$B$7+1,0,IF(E54&lt;0,Assumptions!$B$3-SUM($E$3:E55),0))</f>
        <v>0</v>
      </c>
      <c r="H55" s="22">
        <f t="shared" ca="1" si="2"/>
        <v>-2608680.1072145104</v>
      </c>
      <c r="I55" s="23">
        <f t="shared" ca="1" si="3"/>
        <v>-100846005.84378742</v>
      </c>
      <c r="K55" s="22" t="str">
        <f>IF(B55&gt;Assumptions!$B$6*12+Assumptions!$B$7,"",C55)</f>
        <v/>
      </c>
      <c r="L55" s="23" t="str">
        <f>IF(B55&gt;Assumptions!$B$6*12+Assumptions!$B$7,"",K55/(1+Assumptions!$B$11)^B55)</f>
        <v/>
      </c>
      <c r="M55" s="2"/>
    </row>
    <row r="56" spans="1:13" x14ac:dyDescent="0.2">
      <c r="A56" s="27">
        <v>47813</v>
      </c>
      <c r="B56" s="20">
        <f t="shared" si="5"/>
        <v>55</v>
      </c>
      <c r="C56" s="13">
        <f t="shared" ca="1" si="4"/>
        <v>-100917168.74541579</v>
      </c>
      <c r="D56" s="14">
        <f ca="1">C55*Assumptions!$B$10^30.5-C55</f>
        <v>-2679843.0088428855</v>
      </c>
      <c r="E56" s="14">
        <f ca="1">IF(CashFlow!B56&lt;Assumptions!$B$7+1,0,IF(AND(B56&gt;=Assumptions!$B$7,SUM($E$2:E55)&lt;&gt;Assumptions!$B$3),Assumptions!$B$3/(Assumptions!$B$6*12),IF(Assumptions!$B$3=SUM($E$3:E56)=0,0,0)))</f>
        <v>0</v>
      </c>
      <c r="F56" s="23">
        <f ca="1">IF(B56&lt;Assumptions!$B$7+1,0,IF(E55&lt;0,Assumptions!$B$3-SUM($E$3:E56),0))</f>
        <v>0</v>
      </c>
      <c r="H56" s="22">
        <f t="shared" ca="1" si="2"/>
        <v>-2679843.0088428855</v>
      </c>
      <c r="I56" s="23">
        <f t="shared" ca="1" si="3"/>
        <v>-103597011.75425868</v>
      </c>
      <c r="K56" s="22" t="str">
        <f>IF(B56&gt;Assumptions!$B$6*12+Assumptions!$B$7,"",C56)</f>
        <v/>
      </c>
      <c r="L56" s="23" t="str">
        <f>IF(B56&gt;Assumptions!$B$6*12+Assumptions!$B$7,"",K56/(1+Assumptions!$B$11)^B56)</f>
        <v/>
      </c>
      <c r="M56" s="2"/>
    </row>
    <row r="57" spans="1:13" x14ac:dyDescent="0.2">
      <c r="A57" s="27">
        <v>47843</v>
      </c>
      <c r="B57" s="20">
        <f t="shared" si="5"/>
        <v>56</v>
      </c>
      <c r="C57" s="13">
        <f t="shared" ca="1" si="4"/>
        <v>-103670115.92823936</v>
      </c>
      <c r="D57" s="14">
        <f ca="1">C56*Assumptions!$B$10^30.5-C56</f>
        <v>-2752947.1828235686</v>
      </c>
      <c r="E57" s="14">
        <f ca="1">IF(CashFlow!B57&lt;Assumptions!$B$7+1,0,IF(AND(B57&gt;=Assumptions!$B$7,SUM($E$2:E56)&lt;&gt;Assumptions!$B$3),Assumptions!$B$3/(Assumptions!$B$6*12),IF(Assumptions!$B$3=SUM($E$3:E57)=0,0,0)))</f>
        <v>0</v>
      </c>
      <c r="F57" s="23">
        <f ca="1">IF(B57&lt;Assumptions!$B$7+1,0,IF(E56&lt;0,Assumptions!$B$3-SUM($E$3:E57),0))</f>
        <v>0</v>
      </c>
      <c r="H57" s="22">
        <f t="shared" ca="1" si="2"/>
        <v>-2752947.1828235686</v>
      </c>
      <c r="I57" s="23">
        <f t="shared" ca="1" si="3"/>
        <v>-106423063.11106293</v>
      </c>
      <c r="K57" s="22" t="str">
        <f>IF(B57&gt;Assumptions!$B$6*12+Assumptions!$B$7,"",C57)</f>
        <v/>
      </c>
      <c r="L57" s="23" t="str">
        <f>IF(B57&gt;Assumptions!$B$6*12+Assumptions!$B$7,"",K57/(1+Assumptions!$B$11)^B57)</f>
        <v/>
      </c>
      <c r="M57" s="2"/>
    </row>
    <row r="58" spans="1:13" x14ac:dyDescent="0.2">
      <c r="A58" s="27">
        <v>47874</v>
      </c>
      <c r="B58" s="20">
        <f t="shared" si="5"/>
        <v>57</v>
      </c>
      <c r="C58" s="13">
        <f t="shared" ca="1" si="4"/>
        <v>-106498161.51389799</v>
      </c>
      <c r="D58" s="14">
        <f ca="1">C57*Assumptions!$B$10^30.5-C57</f>
        <v>-2828045.5856586248</v>
      </c>
      <c r="E58" s="14">
        <f ca="1">IF(CashFlow!B58&lt;Assumptions!$B$7+1,0,IF(AND(B58&gt;=Assumptions!$B$7,SUM($E$2:E57)&lt;&gt;Assumptions!$B$3),Assumptions!$B$3/(Assumptions!$B$6*12),IF(Assumptions!$B$3=SUM($E$3:E58)=0,0,0)))</f>
        <v>0</v>
      </c>
      <c r="F58" s="23">
        <f ca="1">IF(B58&lt;Assumptions!$B$7+1,0,IF(E57&lt;0,Assumptions!$B$3-SUM($E$3:E58),0))</f>
        <v>0</v>
      </c>
      <c r="H58" s="22">
        <f t="shared" ca="1" si="2"/>
        <v>-2828045.5856586248</v>
      </c>
      <c r="I58" s="23">
        <f t="shared" ca="1" si="3"/>
        <v>-109326207.09955661</v>
      </c>
      <c r="K58" s="22" t="str">
        <f>IF(B58&gt;Assumptions!$B$6*12+Assumptions!$B$7,"",C58)</f>
        <v/>
      </c>
      <c r="L58" s="23" t="str">
        <f>IF(B58&gt;Assumptions!$B$6*12+Assumptions!$B$7,"",K58/(1+Assumptions!$B$11)^B58)</f>
        <v/>
      </c>
      <c r="M58" s="2"/>
    </row>
    <row r="59" spans="1:13" x14ac:dyDescent="0.2">
      <c r="A59" s="27">
        <v>47905</v>
      </c>
      <c r="B59" s="20">
        <f t="shared" ref="B59:B72" si="6">B58+1</f>
        <v>58</v>
      </c>
      <c r="C59" s="13">
        <f t="shared" ca="1" si="4"/>
        <v>-109403354.13236305</v>
      </c>
      <c r="D59" s="14">
        <f ca="1">C58*Assumptions!$B$10^30.5-C58</f>
        <v>-2905192.618465066</v>
      </c>
      <c r="E59" s="14">
        <f ca="1">IF(CashFlow!B59&lt;Assumptions!$B$7+1,0,IF(AND(B59&gt;=Assumptions!$B$7,SUM($E$2:E58)&lt;&gt;Assumptions!$B$3),Assumptions!$B$3/(Assumptions!$B$6*12),IF(Assumptions!$B$3=SUM($E$3:E59)=0,0,0)))</f>
        <v>0</v>
      </c>
      <c r="F59" s="23">
        <f ca="1">IF(B59&lt;Assumptions!$B$7+1,0,IF(E58&lt;0,Assumptions!$B$3-SUM($E$3:E59),0))</f>
        <v>0</v>
      </c>
      <c r="H59" s="22">
        <f t="shared" ca="1" si="2"/>
        <v>-2905192.618465066</v>
      </c>
      <c r="I59" s="23">
        <f t="shared" ca="1" si="3"/>
        <v>-112308546.75082812</v>
      </c>
      <c r="K59" s="22" t="str">
        <f>IF(B59&gt;Assumptions!$B$6*12+Assumptions!$B$7,"",C59)</f>
        <v/>
      </c>
      <c r="L59" s="23" t="str">
        <f>IF(B59&gt;Assumptions!$B$6*12+Assumptions!$B$7,"",K59/(1+Assumptions!$B$11)^B59)</f>
        <v/>
      </c>
      <c r="M59" s="2"/>
    </row>
    <row r="60" spans="1:13" x14ac:dyDescent="0.2">
      <c r="A60" s="27">
        <v>47933</v>
      </c>
      <c r="B60" s="20">
        <f t="shared" si="6"/>
        <v>59</v>
      </c>
      <c r="C60" s="13">
        <f t="shared" ca="1" si="4"/>
        <v>-112387798.29874599</v>
      </c>
      <c r="D60" s="14">
        <f ca="1">C59*Assumptions!$B$10^30.5-C59</f>
        <v>-2984444.1663829386</v>
      </c>
      <c r="E60" s="14">
        <f ca="1">IF(CashFlow!B60&lt;Assumptions!$B$7+1,0,IF(AND(B60&gt;=Assumptions!$B$7,SUM($E$2:E59)&lt;&gt;Assumptions!$B$3),Assumptions!$B$3/(Assumptions!$B$6*12),IF(Assumptions!$B$3=SUM($E$3:E60)=0,0,0)))</f>
        <v>0</v>
      </c>
      <c r="F60" s="23">
        <f ca="1">IF(B60&lt;Assumptions!$B$7+1,0,IF(E59&lt;0,Assumptions!$B$3-SUM($E$3:E60),0))</f>
        <v>0</v>
      </c>
      <c r="H60" s="22">
        <f t="shared" ca="1" si="2"/>
        <v>-2984444.1663829386</v>
      </c>
      <c r="I60" s="23">
        <f t="shared" ca="1" si="3"/>
        <v>-115372242.46512893</v>
      </c>
      <c r="K60" s="22" t="str">
        <f>IF(B60&gt;Assumptions!$B$6*12+Assumptions!$B$7,"",C60)</f>
        <v/>
      </c>
      <c r="L60" s="23" t="str">
        <f>IF(B60&gt;Assumptions!$B$6*12+Assumptions!$B$7,"",K60/(1+Assumptions!$B$11)^B60)</f>
        <v/>
      </c>
      <c r="M60" s="2"/>
    </row>
    <row r="61" spans="1:13" x14ac:dyDescent="0.2">
      <c r="A61" s="27">
        <v>47964</v>
      </c>
      <c r="B61" s="20">
        <f t="shared" si="6"/>
        <v>60</v>
      </c>
      <c r="C61" s="13">
        <f t="shared" ca="1" si="4"/>
        <v>-115453655.93780437</v>
      </c>
      <c r="D61" s="14">
        <f ca="1">C60*Assumptions!$B$10^30.5-C60</f>
        <v>-3065857.6390583813</v>
      </c>
      <c r="E61" s="14">
        <f ca="1">IF(CashFlow!B61&lt;Assumptions!$B$7+1,0,IF(AND(B61&gt;=Assumptions!$B$7,SUM($E$2:E60)&lt;&gt;Assumptions!$B$3),Assumptions!$B$3/(Assumptions!$B$6*12),IF(Assumptions!$B$3=SUM($E$3:E61)=0,0,0)))</f>
        <v>0</v>
      </c>
      <c r="F61" s="23">
        <f ca="1">IF(B61&lt;Assumptions!$B$7+1,0,IF(E60&lt;0,Assumptions!$B$3-SUM($E$3:E61),0))</f>
        <v>0</v>
      </c>
      <c r="H61" s="22">
        <f t="shared" ca="1" si="2"/>
        <v>-3065857.6390583813</v>
      </c>
      <c r="I61" s="23">
        <f t="shared" ca="1" si="3"/>
        <v>-118519513.57686275</v>
      </c>
      <c r="K61" s="22" t="str">
        <f>IF(B61&gt;Assumptions!$B$6*12+Assumptions!$B$7,"",C61)</f>
        <v/>
      </c>
      <c r="L61" s="23" t="str">
        <f>IF(B61&gt;Assumptions!$B$6*12+Assumptions!$B$7,"",K61/(1+Assumptions!$B$11)^B61)</f>
        <v/>
      </c>
      <c r="M61" s="2"/>
    </row>
    <row r="62" spans="1:13" x14ac:dyDescent="0.2">
      <c r="A62" s="27">
        <v>47994</v>
      </c>
      <c r="B62" s="20">
        <f t="shared" si="6"/>
        <v>61</v>
      </c>
      <c r="C62" s="13">
        <f t="shared" ca="1" si="4"/>
        <v>-118603147.95003542</v>
      </c>
      <c r="D62" s="14">
        <f ca="1">C61*Assumptions!$B$10^30.5-C61</f>
        <v>-3149492.0122310519</v>
      </c>
      <c r="E62" s="14">
        <f ca="1">IF(CashFlow!B62&lt;Assumptions!$B$7+1,0,IF(AND(B62&gt;=Assumptions!$B$7,SUM($E$2:E61)&lt;&gt;Assumptions!$B$3),Assumptions!$B$3/(Assumptions!$B$6*12),IF(Assumptions!$B$3=SUM($E$3:E62)=0,0,0)))</f>
        <v>0</v>
      </c>
      <c r="F62" s="23">
        <f ca="1">IF(B62&lt;Assumptions!$B$7+1,0,IF(E61&lt;0,Assumptions!$B$3-SUM($E$3:E62),0))</f>
        <v>0</v>
      </c>
      <c r="H62" s="22">
        <f t="shared" ca="1" si="2"/>
        <v>-3149492.0122310519</v>
      </c>
      <c r="I62" s="23">
        <f t="shared" ca="1" si="3"/>
        <v>-121752639.96226647</v>
      </c>
      <c r="K62" s="22" t="str">
        <f>IF(B62&gt;Assumptions!$B$6*12+Assumptions!$B$7,"",C62)</f>
        <v/>
      </c>
      <c r="L62" s="23" t="str">
        <f>IF(B62&gt;Assumptions!$B$6*12+Assumptions!$B$7,"",K62/(1+Assumptions!$B$11)^B62)</f>
        <v/>
      </c>
      <c r="M62" s="2"/>
    </row>
    <row r="63" spans="1:13" x14ac:dyDescent="0.2">
      <c r="A63" s="27">
        <v>48025</v>
      </c>
      <c r="B63" s="20">
        <f t="shared" si="6"/>
        <v>62</v>
      </c>
      <c r="C63" s="13">
        <f t="shared" ca="1" si="4"/>
        <v>-121838555.82049145</v>
      </c>
      <c r="D63" s="14">
        <f ca="1">C62*Assumptions!$B$10^30.5-C62</f>
        <v>-3235407.870456025</v>
      </c>
      <c r="E63" s="14">
        <f ca="1">IF(CashFlow!B63&lt;Assumptions!$B$7+1,0,IF(AND(B63&gt;=Assumptions!$B$7,SUM($E$2:E62)&lt;&gt;Assumptions!$B$3),Assumptions!$B$3/(Assumptions!$B$6*12),IF(Assumptions!$B$3=SUM($E$3:E63)=0,0,0)))</f>
        <v>0</v>
      </c>
      <c r="F63" s="23">
        <f ca="1">IF(B63&lt;Assumptions!$B$7+1,0,IF(E62&lt;0,Assumptions!$B$3-SUM($E$3:E63),0))</f>
        <v>0</v>
      </c>
      <c r="H63" s="22">
        <f t="shared" ca="1" si="2"/>
        <v>-3235407.870456025</v>
      </c>
      <c r="I63" s="23">
        <f t="shared" ca="1" si="3"/>
        <v>-125073963.69094747</v>
      </c>
      <c r="K63" s="22" t="str">
        <f>IF(B63&gt;Assumptions!$B$6*12+Assumptions!$B$7,"",C63)</f>
        <v/>
      </c>
      <c r="L63" s="23" t="str">
        <f>IF(B63&gt;Assumptions!$B$6*12+Assumptions!$B$7,"",K63/(1+Assumptions!$B$11)^B63)</f>
        <v/>
      </c>
      <c r="M63" s="2"/>
    </row>
    <row r="64" spans="1:13" x14ac:dyDescent="0.2">
      <c r="A64" s="27">
        <v>48055</v>
      </c>
      <c r="B64" s="20">
        <f t="shared" si="6"/>
        <v>63</v>
      </c>
      <c r="C64" s="13">
        <f t="shared" ca="1" si="4"/>
        <v>-125162223.27148254</v>
      </c>
      <c r="D64" s="14">
        <f ca="1">C63*Assumptions!$B$10^30.5-C63</f>
        <v>-3323667.4509910941</v>
      </c>
      <c r="E64" s="14">
        <f ca="1">IF(CashFlow!B64&lt;Assumptions!$B$7+1,0,IF(AND(B64&gt;=Assumptions!$B$7,SUM($E$2:E63)&lt;&gt;Assumptions!$B$3),Assumptions!$B$3/(Assumptions!$B$6*12),IF(Assumptions!$B$3=SUM($E$3:E64)=0,0,0)))</f>
        <v>0</v>
      </c>
      <c r="F64" s="23">
        <f ca="1">IF(B64&lt;Assumptions!$B$7+1,0,IF(E63&lt;0,Assumptions!$B$3-SUM($E$3:E64),0))</f>
        <v>0</v>
      </c>
      <c r="H64" s="22">
        <f t="shared" ca="1" si="2"/>
        <v>-3323667.4509910941</v>
      </c>
      <c r="I64" s="23">
        <f t="shared" ca="1" si="3"/>
        <v>-128485890.72247364</v>
      </c>
      <c r="K64" s="22" t="str">
        <f>IF(B64&gt;Assumptions!$B$6*12+Assumptions!$B$7,"",C64)</f>
        <v/>
      </c>
      <c r="L64" s="23" t="str">
        <f>IF(B64&gt;Assumptions!$B$6*12+Assumptions!$B$7,"",K64/(1+Assumptions!$B$11)^B64)</f>
        <v/>
      </c>
      <c r="M64" s="2"/>
    </row>
    <row r="65" spans="1:13" x14ac:dyDescent="0.2">
      <c r="A65" s="27">
        <v>48086</v>
      </c>
      <c r="B65" s="20">
        <f t="shared" si="6"/>
        <v>64</v>
      </c>
      <c r="C65" s="13">
        <f t="shared" ca="1" si="4"/>
        <v>-128576557.96036386</v>
      </c>
      <c r="D65" s="14">
        <f ca="1">C64*Assumptions!$B$10^30.5-C64</f>
        <v>-3414334.6888813227</v>
      </c>
      <c r="E65" s="14">
        <f ca="1">IF(CashFlow!B65&lt;Assumptions!$B$7+1,0,IF(AND(B65&gt;=Assumptions!$B$7,SUM($E$2:E64)&lt;&gt;Assumptions!$B$3),Assumptions!$B$3/(Assumptions!$B$6*12),IF(Assumptions!$B$3=SUM($E$3:E65)=0,0,0)))</f>
        <v>0</v>
      </c>
      <c r="F65" s="23">
        <f ca="1">IF(B65&lt;Assumptions!$B$7+1,0,IF(E64&lt;0,Assumptions!$B$3-SUM($E$3:E65),0))</f>
        <v>0</v>
      </c>
      <c r="H65" s="22">
        <f t="shared" ca="1" si="2"/>
        <v>-3414334.6888813227</v>
      </c>
      <c r="I65" s="23">
        <f t="shared" ca="1" si="3"/>
        <v>-131990892.64924519</v>
      </c>
      <c r="K65" s="22" t="str">
        <f>IF(B65&gt;Assumptions!$B$6*12+Assumptions!$B$7,"",C65)</f>
        <v/>
      </c>
      <c r="L65" s="23" t="str">
        <f>IF(B65&gt;Assumptions!$B$6*12+Assumptions!$B$7,"",K65/(1+Assumptions!$B$11)^B65)</f>
        <v/>
      </c>
      <c r="M65" s="2"/>
    </row>
    <row r="66" spans="1:13" x14ac:dyDescent="0.2">
      <c r="A66" s="27">
        <v>48117</v>
      </c>
      <c r="B66" s="20">
        <f t="shared" si="6"/>
        <v>65</v>
      </c>
      <c r="C66" s="13">
        <f t="shared" ca="1" si="4"/>
        <v>-132084033.22363728</v>
      </c>
      <c r="D66" s="14">
        <f ca="1">C65*Assumptions!$B$10^30.5-C65</f>
        <v>-3507475.2632734179</v>
      </c>
      <c r="E66" s="14">
        <f ca="1">IF(CashFlow!B66&lt;Assumptions!$B$7+1,0,IF(AND(B66&gt;=Assumptions!$B$7,SUM($E$2:E65)&lt;&gt;Assumptions!$B$3),Assumptions!$B$3/(Assumptions!$B$6*12),IF(Assumptions!$B$3=SUM($E$3:E66)=0,0,0)))</f>
        <v>0</v>
      </c>
      <c r="F66" s="23">
        <f ca="1">IF(B66&lt;Assumptions!$B$7+1,0,IF(E65&lt;0,Assumptions!$B$3-SUM($E$3:E66),0))</f>
        <v>0</v>
      </c>
      <c r="H66" s="22">
        <f t="shared" ca="1" si="2"/>
        <v>-3507475.2632734179</v>
      </c>
      <c r="I66" s="23">
        <f t="shared" ca="1" si="3"/>
        <v>-135591508.4869107</v>
      </c>
      <c r="K66" s="22" t="str">
        <f>IF(B66&gt;Assumptions!$B$6*12+Assumptions!$B$7,"",C66)</f>
        <v/>
      </c>
      <c r="L66" s="23" t="str">
        <f>IF(B66&gt;Assumptions!$B$6*12+Assumptions!$B$7,"",K66/(1+Assumptions!$B$11)^B66)</f>
        <v/>
      </c>
      <c r="M66" s="2"/>
    </row>
    <row r="67" spans="1:13" x14ac:dyDescent="0.2">
      <c r="A67" s="27">
        <v>48147</v>
      </c>
      <c r="B67" s="20">
        <f t="shared" si="6"/>
        <v>66</v>
      </c>
      <c r="C67" s="13">
        <f t="shared" ca="1" si="4"/>
        <v>-135687189.86863092</v>
      </c>
      <c r="D67" s="14">
        <f ca="1">C66*Assumptions!$B$10^30.5-C66</f>
        <v>-3603156.644993633</v>
      </c>
      <c r="E67" s="14">
        <f ca="1">IF(CashFlow!B67&lt;Assumptions!$B$7+1,0,IF(AND(B67&gt;=Assumptions!$B$7,SUM($E$2:E66)&lt;&gt;Assumptions!$B$3),Assumptions!$B$3/(Assumptions!$B$6*12),IF(Assumptions!$B$3=SUM($E$3:E67)=0,0,0)))</f>
        <v>0</v>
      </c>
      <c r="F67" s="23">
        <f ca="1">IF(B67&lt;Assumptions!$B$7+1,0,IF(E66&lt;0,Assumptions!$B$3-SUM($E$3:E67),0))</f>
        <v>0</v>
      </c>
      <c r="H67" s="22">
        <f t="shared" ca="1" si="2"/>
        <v>-3603156.644993633</v>
      </c>
      <c r="I67" s="23">
        <f t="shared" ca="1" si="3"/>
        <v>-139290346.51362455</v>
      </c>
      <c r="K67" s="22" t="str">
        <f>IF(B67&gt;Assumptions!$B$6*12+Assumptions!$B$7,"",C67)</f>
        <v/>
      </c>
      <c r="L67" s="23" t="str">
        <f>IF(B67&gt;Assumptions!$B$6*12+Assumptions!$B$7,"",K67/(1+Assumptions!$B$11)^B67)</f>
        <v/>
      </c>
      <c r="M67" s="2"/>
    </row>
    <row r="68" spans="1:13" x14ac:dyDescent="0.2">
      <c r="A68" s="27">
        <v>48178</v>
      </c>
      <c r="B68" s="20">
        <f t="shared" si="6"/>
        <v>67</v>
      </c>
      <c r="C68" s="13">
        <f t="shared" ca="1" si="4"/>
        <v>-139388638.01405427</v>
      </c>
      <c r="D68" s="14">
        <f ca="1">C67*Assumptions!$B$10^30.5-C67</f>
        <v>-3701448.1454233527</v>
      </c>
      <c r="E68" s="14">
        <f ca="1">IF(CashFlow!B68&lt;Assumptions!$B$7+1,0,IF(AND(B68&gt;=Assumptions!$B$7,SUM($E$2:E67)&lt;&gt;Assumptions!$B$3),Assumptions!$B$3/(Assumptions!$B$6*12),IF(Assumptions!$B$3=SUM($E$3:E68)=0,0,0)))</f>
        <v>0</v>
      </c>
      <c r="F68" s="23">
        <f ca="1">IF(B68&lt;Assumptions!$B$7+1,0,IF(E67&lt;0,Assumptions!$B$3-SUM($E$3:E68),0))</f>
        <v>0</v>
      </c>
      <c r="H68" s="22">
        <f t="shared" ca="1" si="2"/>
        <v>-3701448.1454233527</v>
      </c>
      <c r="I68" s="23">
        <f t="shared" ca="1" si="3"/>
        <v>-143090086.15947762</v>
      </c>
      <c r="K68" s="22" t="str">
        <f>IF(B68&gt;Assumptions!$B$6*12+Assumptions!$B$7,"",C68)</f>
        <v/>
      </c>
      <c r="L68" s="23" t="str">
        <f>IF(B68&gt;Assumptions!$B$6*12+Assumptions!$B$7,"",K68/(1+Assumptions!$B$11)^B68)</f>
        <v/>
      </c>
      <c r="M68" s="2"/>
    </row>
    <row r="69" spans="1:13" x14ac:dyDescent="0.2">
      <c r="A69" s="27">
        <v>48208</v>
      </c>
      <c r="B69" s="20">
        <f t="shared" si="6"/>
        <v>68</v>
      </c>
      <c r="C69" s="13">
        <f t="shared" ca="1" si="4"/>
        <v>-143191058.98076254</v>
      </c>
      <c r="D69" s="14">
        <f ca="1">C68*Assumptions!$B$10^30.5-C68</f>
        <v>-3802420.9667082727</v>
      </c>
      <c r="E69" s="14">
        <f ca="1">IF(CashFlow!B69&lt;Assumptions!$B$7+1,0,IF(AND(B69&gt;=Assumptions!$B$7,SUM($E$2:E68)&lt;&gt;Assumptions!$B$3),Assumptions!$B$3/(Assumptions!$B$6*12),IF(Assumptions!$B$3=SUM($E$3:E69)=0,0,0)))</f>
        <v>0</v>
      </c>
      <c r="F69" s="23">
        <f ca="1">IF(B69&lt;Assumptions!$B$7+1,0,IF(E68&lt;0,Assumptions!$B$3-SUM($E$3:E69),0))</f>
        <v>0</v>
      </c>
      <c r="H69" s="22">
        <f t="shared" ca="1" si="2"/>
        <v>-3802420.9667082727</v>
      </c>
      <c r="I69" s="23">
        <f t="shared" ca="1" si="3"/>
        <v>-146993479.94747081</v>
      </c>
      <c r="K69" s="22" t="str">
        <f>IF(B69&gt;Assumptions!$B$6*12+Assumptions!$B$7,"",C69)</f>
        <v/>
      </c>
      <c r="L69" s="23" t="str">
        <f>IF(B69&gt;Assumptions!$B$6*12+Assumptions!$B$7,"",K69/(1+Assumptions!$B$11)^B69)</f>
        <v/>
      </c>
      <c r="M69" s="2"/>
    </row>
    <row r="70" spans="1:13" x14ac:dyDescent="0.2">
      <c r="A70" s="27">
        <v>48239</v>
      </c>
      <c r="B70" s="20">
        <f t="shared" si="6"/>
        <v>69</v>
      </c>
      <c r="C70" s="13">
        <f t="shared" ca="1" si="4"/>
        <v>-147097207.23409948</v>
      </c>
      <c r="D70" s="14">
        <f ca="1">C69*Assumptions!$B$10^30.5-C69</f>
        <v>-3906148.2533369362</v>
      </c>
      <c r="E70" s="14">
        <f ca="1">IF(CashFlow!B70&lt;Assumptions!$B$7+1,0,IF(AND(B70&gt;=Assumptions!$B$7,SUM($E$2:E69)&lt;&gt;Assumptions!$B$3),Assumptions!$B$3/(Assumptions!$B$6*12),IF(Assumptions!$B$3=SUM($E$3:E70)=0,0,0)))</f>
        <v>0</v>
      </c>
      <c r="F70" s="23">
        <f ca="1">IF(B70&lt;Assumptions!$B$7+1,0,IF(E69&lt;0,Assumptions!$B$3-SUM($E$3:E70),0))</f>
        <v>0</v>
      </c>
      <c r="H70" s="22">
        <f t="shared" ca="1" si="2"/>
        <v>-3906148.2533369362</v>
      </c>
      <c r="I70" s="23">
        <f t="shared" ca="1" si="3"/>
        <v>-151003355.48743641</v>
      </c>
      <c r="K70" s="22" t="str">
        <f>IF(B70&gt;Assumptions!$B$6*12+Assumptions!$B$7,"",C70)</f>
        <v/>
      </c>
      <c r="L70" s="23" t="str">
        <f>IF(B70&gt;Assumptions!$B$6*12+Assumptions!$B$7,"",K70/(1+Assumptions!$B$11)^B70)</f>
        <v/>
      </c>
      <c r="M70" s="2"/>
    </row>
    <row r="71" spans="1:13" x14ac:dyDescent="0.2">
      <c r="A71" s="27">
        <v>48270</v>
      </c>
      <c r="B71" s="20">
        <f t="shared" si="6"/>
        <v>70</v>
      </c>
      <c r="C71" s="13">
        <f t="shared" ca="1" si="4"/>
        <v>-151109912.37922597</v>
      </c>
      <c r="D71" s="14">
        <f ca="1">C70*Assumptions!$B$10^30.5-C70</f>
        <v>-4012705.1451264918</v>
      </c>
      <c r="E71" s="14">
        <f ca="1">IF(CashFlow!B71&lt;Assumptions!$B$7+1,0,IF(AND(B71&gt;=Assumptions!$B$7,SUM($E$2:E70)&lt;&gt;Assumptions!$B$3),Assumptions!$B$3/(Assumptions!$B$6*12),IF(Assumptions!$B$3=SUM($E$3:E71)=0,0,0)))</f>
        <v>0</v>
      </c>
      <c r="F71" s="23">
        <f ca="1">IF(B71&lt;Assumptions!$B$7+1,0,IF(E70&lt;0,Assumptions!$B$3-SUM($E$3:E71),0))</f>
        <v>0</v>
      </c>
      <c r="H71" s="22">
        <f t="shared" ca="1" si="2"/>
        <v>-4012705.1451264918</v>
      </c>
      <c r="I71" s="23">
        <f t="shared" ca="1" si="3"/>
        <v>-155122617.52435246</v>
      </c>
      <c r="K71" s="22" t="str">
        <f>IF(B71&gt;Assumptions!$B$6*12+Assumptions!$B$7,"",C71)</f>
        <v/>
      </c>
      <c r="L71" s="23" t="str">
        <f>IF(B71&gt;Assumptions!$B$6*12+Assumptions!$B$7,"",K71/(1+Assumptions!$B$11)^B71)</f>
        <v/>
      </c>
      <c r="M71" s="2"/>
    </row>
    <row r="72" spans="1:13" ht="17" thickBot="1" x14ac:dyDescent="0.25">
      <c r="A72" s="27">
        <v>48299</v>
      </c>
      <c r="B72" s="21">
        <f t="shared" si="6"/>
        <v>71</v>
      </c>
      <c r="C72" s="13">
        <f t="shared" ca="1" si="4"/>
        <v>-155232081.21087983</v>
      </c>
      <c r="D72" s="14">
        <f ca="1">C71*Assumptions!$B$10^30.5-C71</f>
        <v>-4122168.8316538632</v>
      </c>
      <c r="E72" s="14">
        <f ca="1">IF(CashFlow!B72&lt;Assumptions!$B$7+1,0,IF(AND(B72&gt;=Assumptions!$B$7,SUM($E$2:E71)&lt;&gt;Assumptions!$B$3),Assumptions!$B$3/(Assumptions!$B$6*12),IF(Assumptions!$B$3=SUM($E$3:E72)=0,0,0)))</f>
        <v>0</v>
      </c>
      <c r="F72" s="23">
        <f ca="1">IF(B72&lt;Assumptions!$B$7+1,0,IF(E71&lt;0,Assumptions!$B$3-SUM($E$3:E72),0))</f>
        <v>0</v>
      </c>
      <c r="H72" s="24">
        <f t="shared" ca="1" si="2"/>
        <v>-4122168.8316538632</v>
      </c>
      <c r="I72" s="25">
        <f t="shared" ca="1" si="3"/>
        <v>-159354250.0425337</v>
      </c>
      <c r="K72" s="24" t="str">
        <f>IF(B72&gt;Assumptions!$B$6*12+Assumptions!$B$7,"",C72)</f>
        <v/>
      </c>
      <c r="L72" s="25" t="str">
        <f>IF(B72&gt;Assumptions!$B$6*12+Assumptions!$B$7,"",K72/(1+Assumptions!$B$11)^B72)</f>
        <v/>
      </c>
      <c r="M72" s="2"/>
    </row>
    <row r="73" spans="1:13" x14ac:dyDescent="0.2">
      <c r="A73" s="26"/>
    </row>
    <row r="74" spans="1:13" x14ac:dyDescent="0.2">
      <c r="A74" s="26"/>
    </row>
    <row r="75" spans="1:13" x14ac:dyDescent="0.2">
      <c r="A75" s="2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CashFlow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2026-05-05T06:50:43Z</dcterms:created>
  <dcterms:modified xsi:type="dcterms:W3CDTF">2026-05-05T16:07:17Z</dcterms:modified>
</cp:coreProperties>
</file>